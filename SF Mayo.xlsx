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 Alexander\Downloads\"/>
    </mc:Choice>
  </mc:AlternateContent>
  <xr:revisionPtr revIDLastSave="0" documentId="8_{D4DD43F4-F425-442B-A1DE-0C7AF2EF0694}" xr6:coauthVersionLast="47" xr6:coauthVersionMax="47" xr10:uidLastSave="{00000000-0000-0000-0000-000000000000}"/>
  <bookViews>
    <workbookView xWindow="-108" yWindow="-108" windowWidth="23256" windowHeight="12456" activeTab="3" xr2:uid="{800E7A44-86A6-454C-A5A0-E9F417398A89}"/>
  </bookViews>
  <sheets>
    <sheet name="DRA. ALEJANDRA" sheetId="3" r:id="rId1"/>
    <sheet name="DR. CARLOS" sheetId="1" r:id="rId2"/>
    <sheet name="COSM. KARELY" sheetId="4" r:id="rId3"/>
    <sheet name="COSMETOLOGA KARLA.  " sheetId="5" r:id="rId4"/>
    <sheet name="CIERRE DIARIO" sheetId="6" r:id="rId5"/>
    <sheet name="INVENTARIO" sheetId="7" r:id="rId6"/>
    <sheet name="Listas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D14" i="6"/>
  <c r="D13" i="6"/>
  <c r="F14" i="6"/>
  <c r="F13" i="6"/>
  <c r="F12" i="6"/>
  <c r="F11" i="6"/>
  <c r="E14" i="6"/>
  <c r="E13" i="6"/>
  <c r="E11" i="6"/>
  <c r="B12" i="6"/>
  <c r="C12" i="6"/>
  <c r="D12" i="6"/>
  <c r="C13" i="6"/>
  <c r="B13" i="6"/>
  <c r="F16" i="6" l="1"/>
  <c r="G12" i="6"/>
  <c r="G13" i="6"/>
  <c r="D11" i="6"/>
  <c r="C14" i="6"/>
  <c r="C11" i="6"/>
  <c r="B14" i="6"/>
  <c r="B11" i="6"/>
  <c r="G14" i="6" l="1"/>
  <c r="G11" i="6"/>
  <c r="D16" i="6"/>
  <c r="C16" i="6"/>
  <c r="B16" i="6"/>
  <c r="G16" i="6" l="1"/>
  <c r="E16" i="6"/>
  <c r="A1" i="7" l="1" a="1"/>
  <c r="A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<sst xmlns="http://schemas.openxmlformats.org/spreadsheetml/2006/main" count="2282" uniqueCount="664">
  <si>
    <t>FECHA</t>
  </si>
  <si>
    <t>NOMBRE DEL PACIENTE</t>
  </si>
  <si>
    <t>TIPO DE CONSULTA</t>
  </si>
  <si>
    <t>MONTO</t>
  </si>
  <si>
    <t>MEDIO DE PAGO</t>
  </si>
  <si>
    <t>FACTURADO</t>
  </si>
  <si>
    <t>NÚMERO RECIBO</t>
  </si>
  <si>
    <t>NÚMERO FACTURA</t>
  </si>
  <si>
    <t>FUENTE</t>
  </si>
  <si>
    <t>OBSERVACIONES</t>
  </si>
  <si>
    <t>SUBSECUENTE</t>
  </si>
  <si>
    <t>PRIMERA VEZ</t>
  </si>
  <si>
    <t>DR. CARLOS BARRERA</t>
  </si>
  <si>
    <t>DRA. ALEJANDRA GUERRERO</t>
  </si>
  <si>
    <t>DOCTOR</t>
  </si>
  <si>
    <t>MEDIOS DE PAGO</t>
  </si>
  <si>
    <t>EFECTIVO</t>
  </si>
  <si>
    <t>TRANSFERENCIA</t>
  </si>
  <si>
    <t>PAGADO</t>
  </si>
  <si>
    <t>TIPO CONSULTA</t>
  </si>
  <si>
    <t>COSM. KARELY MONTES</t>
  </si>
  <si>
    <t>RRSS</t>
  </si>
  <si>
    <t>RECOMENDACIÓN</t>
  </si>
  <si>
    <t>GOOGLE</t>
  </si>
  <si>
    <t>PV</t>
  </si>
  <si>
    <t xml:space="preserve">COSM. KARLA </t>
  </si>
  <si>
    <t>TOTAL</t>
  </si>
  <si>
    <t>EQUIPO</t>
  </si>
  <si>
    <t>subsecuente</t>
  </si>
  <si>
    <t>botox</t>
  </si>
  <si>
    <t>consulta</t>
  </si>
  <si>
    <t>NO</t>
  </si>
  <si>
    <t>SI</t>
  </si>
  <si>
    <t xml:space="preserve">vastionin </t>
  </si>
  <si>
    <t>subsecuente/botox</t>
  </si>
  <si>
    <t>PV/botox</t>
  </si>
  <si>
    <t>retiro de puntos</t>
  </si>
  <si>
    <t>facial</t>
  </si>
  <si>
    <t xml:space="preserve">1 polaris </t>
  </si>
  <si>
    <t>inyección de dutasteride</t>
  </si>
  <si>
    <t>Laura Acosta Rios</t>
  </si>
  <si>
    <t xml:space="preserve">subsecuente </t>
  </si>
  <si>
    <t xml:space="preserve">3 minoxidil 5 mg </t>
  </si>
  <si>
    <t xml:space="preserve">3 minoxidil 5mg + 1 polaris </t>
  </si>
  <si>
    <t>skin glow</t>
  </si>
  <si>
    <t>retoque</t>
  </si>
  <si>
    <t>si</t>
  </si>
  <si>
    <t>Janette Djaddah Shakalo</t>
  </si>
  <si>
    <t>Javier Martinez del Campo</t>
  </si>
  <si>
    <t xml:space="preserve">1 minoxidil 1 mg </t>
  </si>
  <si>
    <t>dermapen</t>
  </si>
  <si>
    <t>no</t>
  </si>
  <si>
    <t xml:space="preserve">facial </t>
  </si>
  <si>
    <t xml:space="preserve">luz pulsada </t>
  </si>
  <si>
    <t>patologia</t>
  </si>
  <si>
    <t>depilación</t>
  </si>
  <si>
    <t>1 epuris</t>
  </si>
  <si>
    <t>Guadalupe Espinosa Mejia</t>
  </si>
  <si>
    <t>Esteban Campos Valladolid</t>
  </si>
  <si>
    <t>PV/procedimiento</t>
  </si>
  <si>
    <t>1 polaris</t>
  </si>
  <si>
    <t>Subsecuente</t>
  </si>
  <si>
    <t xml:space="preserve">Subsecuente </t>
  </si>
  <si>
    <t xml:space="preserve">Camila Soto </t>
  </si>
  <si>
    <t xml:space="preserve">no </t>
  </si>
  <si>
    <t>procedimiento</t>
  </si>
  <si>
    <t xml:space="preserve">dermapen </t>
  </si>
  <si>
    <t>Renata Amezcua Aranda</t>
  </si>
  <si>
    <t>3 minoxidil 5mg</t>
  </si>
  <si>
    <t xml:space="preserve">Polaris </t>
  </si>
  <si>
    <t>Fernanda Segura Arambulo</t>
  </si>
  <si>
    <t>sculptra</t>
  </si>
  <si>
    <t>se cobro dra. Ale</t>
  </si>
  <si>
    <t>Adolfo Garin</t>
  </si>
  <si>
    <t>cobro dra. Ale</t>
  </si>
  <si>
    <t>profhilo</t>
  </si>
  <si>
    <t>AMEX</t>
  </si>
  <si>
    <t xml:space="preserve">depilacion </t>
  </si>
  <si>
    <t>co2</t>
  </si>
  <si>
    <t>Alejandra Alonso Asho</t>
  </si>
  <si>
    <t>dutasteride</t>
  </si>
  <si>
    <t xml:space="preserve">Hydrafacial </t>
  </si>
  <si>
    <t>Mauricio Alejandro Macias Ocaña</t>
  </si>
  <si>
    <t>Jorge Eduardo Rodríguez Loera</t>
  </si>
  <si>
    <t>DRA. ALEJANDRA</t>
  </si>
  <si>
    <t>3 minoxidil 5 mg</t>
  </si>
  <si>
    <t xml:space="preserve">Karla </t>
  </si>
  <si>
    <t>2 polaris</t>
  </si>
  <si>
    <t>Orlando Gutierrez Aragon</t>
  </si>
  <si>
    <t>geneo</t>
  </si>
  <si>
    <t>KARELY</t>
  </si>
  <si>
    <t>se cobro dr.Barrera</t>
  </si>
  <si>
    <t>Jazmin Lozano</t>
  </si>
  <si>
    <t>1 minoxidil 5mg</t>
  </si>
  <si>
    <t xml:space="preserve">pastillas </t>
  </si>
  <si>
    <t>Luz pulsada</t>
  </si>
  <si>
    <t>Hector Hugo Ceron Peralta</t>
  </si>
  <si>
    <t xml:space="preserve">minoxidil </t>
  </si>
  <si>
    <t>Gustavo Adolfo Espinosa Carbajal</t>
  </si>
  <si>
    <t>Macarena Alatorre</t>
  </si>
  <si>
    <t>TARJETA DEBITO</t>
  </si>
  <si>
    <t>DOCTORALIA</t>
  </si>
  <si>
    <t>CORTESÍA</t>
  </si>
  <si>
    <t>TARJETA CREDITO</t>
  </si>
  <si>
    <t>Retoque</t>
  </si>
  <si>
    <t>Sculptra</t>
  </si>
  <si>
    <t>Luis Lauro Moreno Ricard</t>
  </si>
  <si>
    <t>1 minoxidil 5 mg</t>
  </si>
  <si>
    <t>Diego Armas de la Vega</t>
  </si>
  <si>
    <t>Luciana Pandal López</t>
  </si>
  <si>
    <t>se cobro dr. Carlos</t>
  </si>
  <si>
    <t>Kiyomi Alvarado Tanamachi</t>
  </si>
  <si>
    <t>Michelle Alicia Duran Olvera</t>
  </si>
  <si>
    <t>Ingrid Pérez Tejeda</t>
  </si>
  <si>
    <t>Juan Alberto Becerra Martínez</t>
  </si>
  <si>
    <t>Laura Duhart Gutiérrez</t>
  </si>
  <si>
    <t>Natalie Paola Marcushamer Gold</t>
  </si>
  <si>
    <t>Lucia Escalante Barbabosa</t>
  </si>
  <si>
    <t>depilación laser media cara</t>
  </si>
  <si>
    <t>Jack Romano Grimberg</t>
  </si>
  <si>
    <t>Rebeca Kababie</t>
  </si>
  <si>
    <t>Celia Masri Maya</t>
  </si>
  <si>
    <t xml:space="preserve">CD dermico loción capilar </t>
  </si>
  <si>
    <t>Josep Nousairi Shacalo</t>
  </si>
  <si>
    <t>Paola Huelga Correa</t>
  </si>
  <si>
    <t>Miguel Angel Zavala Moreno</t>
  </si>
  <si>
    <t>epuris</t>
  </si>
  <si>
    <t>limpieza</t>
  </si>
  <si>
    <t>Jenny Alexandra Urrego Rodriguez</t>
  </si>
  <si>
    <t>Gabriel Guaida</t>
  </si>
  <si>
    <t>Roxana Vazquez Martinez</t>
  </si>
  <si>
    <t>Hannia Liz Palencia Paniagua</t>
  </si>
  <si>
    <t>acido tranexamico</t>
  </si>
  <si>
    <t>Botox</t>
  </si>
  <si>
    <t>consulta en línea PV</t>
  </si>
  <si>
    <t xml:space="preserve">retoque </t>
  </si>
  <si>
    <t>Gerardo Noriega Zavala</t>
  </si>
  <si>
    <t>Lorena Olvera Trejo</t>
  </si>
  <si>
    <t>Leticia Gatica Mejia</t>
  </si>
  <si>
    <t>Pedro Alberto García Ramírez</t>
  </si>
  <si>
    <t>Nathali Rodriguez Avila</t>
  </si>
  <si>
    <t>ANTIBIOTIC</t>
  </si>
  <si>
    <t xml:space="preserve">Abigail Paniagua Vizcarra </t>
  </si>
  <si>
    <t>3 minoxidil 1 mg</t>
  </si>
  <si>
    <t>Celia Masri Jasqui</t>
  </si>
  <si>
    <t>Verónica Luisa Bellamy Astudillo</t>
  </si>
  <si>
    <t xml:space="preserve">si </t>
  </si>
  <si>
    <t xml:space="preserve">botox </t>
  </si>
  <si>
    <t>Luciano Perez Alonso</t>
  </si>
  <si>
    <t>Víctor Eduardo Mejia Gonzalez</t>
  </si>
  <si>
    <t>Daniel Badillo Soto</t>
  </si>
  <si>
    <t>INVENTARIO DE MEDICAMENTOS DR. BARRERA</t>
  </si>
  <si>
    <t>PRODUCTO</t>
  </si>
  <si>
    <t>Minoxidil 2.5 mg</t>
  </si>
  <si>
    <t>Minoxidil 5 mg</t>
  </si>
  <si>
    <t>Minoxidil 5 mg c/90 tab</t>
  </si>
  <si>
    <t>Minoxidil 1 mg</t>
  </si>
  <si>
    <t>Polaris</t>
  </si>
  <si>
    <t>Folcare</t>
  </si>
  <si>
    <t>Dutasteride</t>
  </si>
  <si>
    <t>Epuris</t>
  </si>
  <si>
    <t>Acido Trexamico</t>
  </si>
  <si>
    <t>Nourkrim</t>
  </si>
  <si>
    <t xml:space="preserve">Dermazone </t>
  </si>
  <si>
    <t>INGRESOS</t>
  </si>
  <si>
    <t xml:space="preserve">FECHA </t>
  </si>
  <si>
    <t>1 minoxidil 2.5 mg +1 dutasteride</t>
  </si>
  <si>
    <t>Claudia Cristina Barrera Carmona</t>
  </si>
  <si>
    <t>Gabriela Castro Trigueros</t>
  </si>
  <si>
    <t>Roman Samuel Velez Unger</t>
  </si>
  <si>
    <t>Paula Andrea Fabrega Roncagliolo</t>
  </si>
  <si>
    <t>Daniela Serrano Hamparzumian</t>
  </si>
  <si>
    <t xml:space="preserve"> </t>
  </si>
  <si>
    <t>Claudia Paulina Salazar Del Pino</t>
  </si>
  <si>
    <t>Eduardo Rios Vivero</t>
  </si>
  <si>
    <t>se cobro dr Carlos</t>
  </si>
  <si>
    <t>Sandra Eliana Garcia</t>
  </si>
  <si>
    <t>Erik Yamil Tonali Castillo Olvera</t>
  </si>
  <si>
    <t xml:space="preserve">limpieza facial </t>
  </si>
  <si>
    <t>Adrián Bernal Gutierrez</t>
  </si>
  <si>
    <t>Galilea Padrón García</t>
  </si>
  <si>
    <t>Adriana Segura Habanero</t>
  </si>
  <si>
    <t>subsecuetne</t>
  </si>
  <si>
    <t>acido hiauloronico</t>
  </si>
  <si>
    <t>tretinoina</t>
  </si>
  <si>
    <t>Zeltzin Rosas Espinoza</t>
  </si>
  <si>
    <t>Natalia Arenas Ortiz</t>
  </si>
  <si>
    <t>Alejandra Martinez Perez</t>
  </si>
  <si>
    <t>Jannet Martínez Villegas</t>
  </si>
  <si>
    <t>Hydrafacial  DELUXE</t>
  </si>
  <si>
    <t>Marcos Rivera Hernandez</t>
  </si>
  <si>
    <t>Mireille Donaji Arango Mathieu</t>
  </si>
  <si>
    <t>cobro dr, Carlos</t>
  </si>
  <si>
    <t>Daniela Roca Subero</t>
  </si>
  <si>
    <t>Ximena Covarrubias Zapien</t>
  </si>
  <si>
    <t>Alejandra Garcia Vizcaino</t>
  </si>
  <si>
    <t>Kelin Areli Olvera Quiroz</t>
  </si>
  <si>
    <t>Jose Senado</t>
  </si>
  <si>
    <t>Hydrafacial deluxe</t>
  </si>
  <si>
    <t xml:space="preserve">isdin </t>
  </si>
  <si>
    <t>Yeardley Espejo Villarreal</t>
  </si>
  <si>
    <t>Andrea Almada</t>
  </si>
  <si>
    <t>Moshe Chocron Benabou</t>
  </si>
  <si>
    <t>Maria Jose Farias Hernandez</t>
  </si>
  <si>
    <t>Irina Rosas Mendoza</t>
  </si>
  <si>
    <t xml:space="preserve">CO2 </t>
  </si>
  <si>
    <t>limpeza facial</t>
  </si>
  <si>
    <t>Depilación láser</t>
  </si>
  <si>
    <t>Lucia Ogarrio</t>
  </si>
  <si>
    <t xml:space="preserve">factura solicitada </t>
  </si>
  <si>
    <t>Jorge Rodolfo Escamilla Torres</t>
  </si>
  <si>
    <t>Juan Carlos Guzman Solis</t>
  </si>
  <si>
    <t>Jorge Gerardo Cruz Aguila</t>
  </si>
  <si>
    <t>Paula Islas Cantu</t>
  </si>
  <si>
    <t>Ana Guadalupe Gúzman Ariza</t>
  </si>
  <si>
    <t>Fabiola Flores Guadarrama</t>
  </si>
  <si>
    <t>Mariam Gutierrez</t>
  </si>
  <si>
    <t>María del Carmen Crespo Pozuelo</t>
  </si>
  <si>
    <t>Saldo a a favor $500</t>
  </si>
  <si>
    <t>1 polaris + 3 minoxidil 5</t>
  </si>
  <si>
    <t>inyecciones de dutasteride</t>
  </si>
  <si>
    <t>Julio Aguilar</t>
  </si>
  <si>
    <t xml:space="preserve">transplante </t>
  </si>
  <si>
    <t>Mesoterapia</t>
  </si>
  <si>
    <t>Mariana Lopez Anaya</t>
  </si>
  <si>
    <t>Karlo Imanuel Galindo Ramírez</t>
  </si>
  <si>
    <t>depilacion piernas</t>
  </si>
  <si>
    <t>depilacion bigote</t>
  </si>
  <si>
    <t>AG gel + 1 vastionin</t>
  </si>
  <si>
    <t>KARLO IMANUEL GALINDO RAMIREZ</t>
  </si>
  <si>
    <t>Cecilia Valladolid</t>
  </si>
  <si>
    <t>Marco Antonio Torres Pérez</t>
  </si>
  <si>
    <t>Sharon Esquenazi Opatowski</t>
  </si>
  <si>
    <t>Claudia Perez Roldan</t>
  </si>
  <si>
    <t xml:space="preserve">	Tadeo Maximiliano Vargas Espinosa</t>
  </si>
  <si>
    <t>Iñaki Alvarez Arocha</t>
  </si>
  <si>
    <t xml:space="preserve">	Fernando Terres</t>
  </si>
  <si>
    <t xml:space="preserve">sculptra </t>
  </si>
  <si>
    <t xml:space="preserve"> inyección de dutasteride</t>
  </si>
  <si>
    <t>1 polaris + 4 minoxidil 5</t>
  </si>
  <si>
    <t xml:space="preserve">Si </t>
  </si>
  <si>
    <t>Procedimiento</t>
  </si>
  <si>
    <t>Alejandra Arocha Garreño</t>
  </si>
  <si>
    <t>Cecilia Ramírez Suttclife</t>
  </si>
  <si>
    <t>1 minoxidil</t>
  </si>
  <si>
    <t>tizo 3</t>
  </si>
  <si>
    <t>liauronidaza</t>
  </si>
  <si>
    <t>Claudia Maribel Pérez Hernandez</t>
  </si>
  <si>
    <t>Javier sayrols Bouigue</t>
  </si>
  <si>
    <t>Valeria Garcia Herrerias</t>
  </si>
  <si>
    <t>Valeria Hernández Sánchez</t>
  </si>
  <si>
    <t>saldo a favor $400</t>
  </si>
  <si>
    <t>Laura Poucel Maldonado</t>
  </si>
  <si>
    <t>Emiliano Cortina Saviñón</t>
  </si>
  <si>
    <t>SOFIA AUXILIADORA RODRIGUEZ RODRIGUEZ</t>
  </si>
  <si>
    <t>Begoña Elizalde</t>
  </si>
  <si>
    <t>Ángel Manuel García Ochoa</t>
  </si>
  <si>
    <t>Karla Melina Mendoza Rodriguez</t>
  </si>
  <si>
    <t>Daniel Barrera Ochoa</t>
  </si>
  <si>
    <t>2 minoxidil 5mg (90 caps)</t>
  </si>
  <si>
    <t xml:space="preserve">Factura soliicitada </t>
  </si>
  <si>
    <t>1 minoxidol 5m</t>
  </si>
  <si>
    <t>A 7</t>
  </si>
  <si>
    <t>Ana Nicolas Cruz</t>
  </si>
  <si>
    <t xml:space="preserve">Valeria Hernández Sánchez </t>
  </si>
  <si>
    <t>A 8</t>
  </si>
  <si>
    <t>envio CSF</t>
  </si>
  <si>
    <t>Limpieza e hidratación</t>
  </si>
  <si>
    <t>tenia s/f 29/04/</t>
  </si>
  <si>
    <t>visa</t>
  </si>
  <si>
    <t>depilación media cara</t>
  </si>
  <si>
    <t>Saldo a favor$200</t>
  </si>
  <si>
    <t>1 polaris + 1minoxidel 1mg</t>
  </si>
  <si>
    <t xml:space="preserve">	Luis Enrique Rodríguez Sánchez</t>
  </si>
  <si>
    <t>1 minoxidil de 1mg</t>
  </si>
  <si>
    <t>3 polaris + 3 minoxidil de 5mg</t>
  </si>
  <si>
    <t>exosomas</t>
  </si>
  <si>
    <t>Maria Isabel Alatorre</t>
  </si>
  <si>
    <t>se cobro dr.Carlos</t>
  </si>
  <si>
    <t>Tamara Beatriz Muñoz Delgadillo</t>
  </si>
  <si>
    <t>Soylo Montes de Oca Olguín</t>
  </si>
  <si>
    <t>Mariana Evelyn Carrillo González</t>
  </si>
  <si>
    <t>solución</t>
  </si>
  <si>
    <t>pend, entregar sol.</t>
  </si>
  <si>
    <t>Ledicia Benabou Benmaman</t>
  </si>
  <si>
    <t>Araceli Plaza Vázquez</t>
  </si>
  <si>
    <t>Miguel Angel Tejeda Calvario</t>
  </si>
  <si>
    <t>Diana Neri Neri</t>
  </si>
  <si>
    <t>PV/BOTOX</t>
  </si>
  <si>
    <t>Ximena Gomez Leites</t>
  </si>
  <si>
    <t>Grecia Moreno</t>
  </si>
  <si>
    <t>BOTOX</t>
  </si>
  <si>
    <t xml:space="preserve">1 minoxidil 5mg +2 dutasteride +1 polaris </t>
  </si>
  <si>
    <t>ssubsecuente</t>
  </si>
  <si>
    <t>Daniela Feldman</t>
  </si>
  <si>
    <t>José Ramón Gachúz Navarro</t>
  </si>
  <si>
    <t>Carlos Figueroa Cobos</t>
  </si>
  <si>
    <t>acido hiauloronico/radiesse</t>
  </si>
  <si>
    <t xml:space="preserve">Diana Morgado Iglesias </t>
  </si>
  <si>
    <t>Depilación cara completa</t>
  </si>
  <si>
    <t>Marina Cortes García</t>
  </si>
  <si>
    <t>se cobro dr.Barrera 7/5/26</t>
  </si>
  <si>
    <t>A 9</t>
  </si>
  <si>
    <t>A 10</t>
  </si>
  <si>
    <t>A 11</t>
  </si>
  <si>
    <t>A12</t>
  </si>
  <si>
    <t>A13</t>
  </si>
  <si>
    <t>A 14</t>
  </si>
  <si>
    <t>Federico Cedillo</t>
  </si>
  <si>
    <t>Kleide Fernández Alvarez</t>
  </si>
  <si>
    <t>Marcela Soto</t>
  </si>
  <si>
    <t>Judith Escobar Torres</t>
  </si>
  <si>
    <t>Maria Eugenia Ballestero Cameroni</t>
  </si>
  <si>
    <t>Camila Soto</t>
  </si>
  <si>
    <t>Silvana Fajardo Bahena</t>
  </si>
  <si>
    <t>Ricardo Rivas García</t>
  </si>
  <si>
    <t>PV/consulta en línea</t>
  </si>
  <si>
    <t>Ander Ovejas</t>
  </si>
  <si>
    <t>Clara Torres</t>
  </si>
  <si>
    <t>Maria Rivero Borrell</t>
  </si>
  <si>
    <t>Daphne Yamileth Ugalde Peña</t>
  </si>
  <si>
    <t>Mauricio Bierzwinsky</t>
  </si>
  <si>
    <t>cita 08/05/2026</t>
  </si>
  <si>
    <t>pago Pen. 04/07</t>
  </si>
  <si>
    <t>Columna1</t>
  </si>
  <si>
    <t>Emilia Schvartzman Berman</t>
  </si>
  <si>
    <t>Jessica Smeke Smeke</t>
  </si>
  <si>
    <t>Mireya Yamile Morales Romo</t>
  </si>
  <si>
    <t>Marco Antonio Escalante López</t>
  </si>
  <si>
    <t>Luis Fernando Peña Peña</t>
  </si>
  <si>
    <t>David Corona Balcazar</t>
  </si>
  <si>
    <t>retoque /profhilo</t>
  </si>
  <si>
    <t>Jesica Smeke Smeke</t>
  </si>
  <si>
    <t>A 15</t>
  </si>
  <si>
    <t>GENEO</t>
  </si>
  <si>
    <t>procedimiento quirurgico</t>
  </si>
  <si>
    <t>Maria Elena Aniceto</t>
  </si>
  <si>
    <t>2 vastionin</t>
  </si>
  <si>
    <t>subsecuente/ peeling</t>
  </si>
  <si>
    <t>procedimeinto</t>
  </si>
  <si>
    <t>3 minoxidil 2.5 + 2 dutasteride</t>
  </si>
  <si>
    <t>Rodrigo Zarate Gonzalez</t>
  </si>
  <si>
    <t xml:space="preserve">limpieza Facial </t>
  </si>
  <si>
    <t>A16</t>
  </si>
  <si>
    <t xml:space="preserve">AG GEL </t>
  </si>
  <si>
    <t>ACIDO TRANEXAMICO</t>
  </si>
  <si>
    <t>medicamento dr.</t>
  </si>
  <si>
    <t xml:space="preserve">Luz pulsada </t>
  </si>
  <si>
    <t>Horacio Palencia Cisneros</t>
  </si>
  <si>
    <t>Abigail Paniagua Vizcarra</t>
  </si>
  <si>
    <t>subsecuente/LASER</t>
  </si>
  <si>
    <t>Dulce Sabrina Tello Martínez</t>
  </si>
  <si>
    <t>Se pago 07/05/2026</t>
  </si>
  <si>
    <t xml:space="preserve">Limpieza de espalda </t>
  </si>
  <si>
    <t>3minoxidil 1mg + 1 polaris</t>
  </si>
  <si>
    <t>Jessica Vanessa Barrera Martinez</t>
  </si>
  <si>
    <t>Ana Victoria Wong De La Torre</t>
  </si>
  <si>
    <t>Begoña Bolaños Meade</t>
  </si>
  <si>
    <t>Aimee Calleja Aguilar</t>
  </si>
  <si>
    <t>Rodrigo Ramirez De Riquer</t>
  </si>
  <si>
    <t xml:space="preserve">1 minoxidil 5 mg +1 dutasteride </t>
  </si>
  <si>
    <t xml:space="preserve">Victor Manuel Silva </t>
  </si>
  <si>
    <t>se cobro dr. Barrera</t>
  </si>
  <si>
    <t>Carlos Aparicio Garcia</t>
  </si>
  <si>
    <t>Andrea Fornelli</t>
  </si>
  <si>
    <t>Paulo Benziger Chávez</t>
  </si>
  <si>
    <t>Denise Salas</t>
  </si>
  <si>
    <t>Saraí Sánchez Mateo</t>
  </si>
  <si>
    <t>Beatriz Melo</t>
  </si>
  <si>
    <t>Amanda Martínez Alanís</t>
  </si>
  <si>
    <t>Andrés Gregorio Uzcategui Gómez</t>
  </si>
  <si>
    <t>Nicole Antonovich Taunton</t>
  </si>
  <si>
    <t>Ines Villegas</t>
  </si>
  <si>
    <t>PV Consulta en línea</t>
  </si>
  <si>
    <t>Pamela Keller Bimstein</t>
  </si>
  <si>
    <t>Asenet Martinez Orozco</t>
  </si>
  <si>
    <t>Esther Hernández Sánchez</t>
  </si>
  <si>
    <t>minoxidil</t>
  </si>
  <si>
    <t xml:space="preserve">1 Minoxidil 1mg </t>
  </si>
  <si>
    <t>pagada 22/04/2026</t>
  </si>
  <si>
    <t>Cecilia Marcela Ramírez Suttclife</t>
  </si>
  <si>
    <t>Jocelyn Gutierrez Nájera</t>
  </si>
  <si>
    <t>Lua Hernández Lopez</t>
  </si>
  <si>
    <t>Gabriela Sosa Miranda</t>
  </si>
  <si>
    <t>Pamela Guerrero Pérez</t>
  </si>
  <si>
    <t>Jocelyn Elizabeth Sierres Castillo</t>
  </si>
  <si>
    <t>Gustavo Ramírez de León</t>
  </si>
  <si>
    <t>Eugenio Villareal viera</t>
  </si>
  <si>
    <t>Cristina Cabral Moreno</t>
  </si>
  <si>
    <t>Ramón Fernández Loperena</t>
  </si>
  <si>
    <t>3 minoxidil 2.5</t>
  </si>
  <si>
    <t xml:space="preserve">MINIXIDIL </t>
  </si>
  <si>
    <t xml:space="preserve">Mesoterapia de dutasteride </t>
  </si>
  <si>
    <t>Se entrega Efec a la DRA.</t>
  </si>
  <si>
    <t>Nelly Abarca</t>
  </si>
  <si>
    <t>AG</t>
  </si>
  <si>
    <t>Ines Martin Del Campo Rota</t>
  </si>
  <si>
    <t>Paola Pimentel Colin</t>
  </si>
  <si>
    <t>Gabriela Noemi Molares</t>
  </si>
  <si>
    <t>Diana Menendez Preciat</t>
  </si>
  <si>
    <t>5/de 5 consultas</t>
  </si>
  <si>
    <t>Hydrafacial Platinum</t>
  </si>
  <si>
    <t>Noor Bechara Boulos</t>
  </si>
  <si>
    <t>Jimena Garcia Reissenweber</t>
  </si>
  <si>
    <t>Gisela Ruiz De Chavez</t>
  </si>
  <si>
    <t>Sofia Cano Ruiz de Chávez</t>
  </si>
  <si>
    <t xml:space="preserve">PV  </t>
  </si>
  <si>
    <t>Adelaida Paola Carmona Leyva</t>
  </si>
  <si>
    <t>subsecuente/profhilo</t>
  </si>
  <si>
    <t>Depilación de cara completa</t>
  </si>
  <si>
    <t>Depilación de cara completa y axilas</t>
  </si>
  <si>
    <t xml:space="preserve">Loción </t>
  </si>
  <si>
    <t>3 polaris + 3 minoxidil de 1mg</t>
  </si>
  <si>
    <t>1 polaris + 1 minoxidil 1mg</t>
  </si>
  <si>
    <t>contorno de ojos</t>
  </si>
  <si>
    <t>Maite Maria Dunand Raymond</t>
  </si>
  <si>
    <t>Adriana Álvarez Martínez</t>
  </si>
  <si>
    <t>Patricia Isabel Iglesias Martinez</t>
  </si>
  <si>
    <t>Liam Dondisch</t>
  </si>
  <si>
    <t>Mariana Navas Weintraub</t>
  </si>
  <si>
    <t>Valeria Alejandra Cruz Arias</t>
  </si>
  <si>
    <t>Paulina Carbó Pérez</t>
  </si>
  <si>
    <t>capilarium capixy</t>
  </si>
  <si>
    <t>Angel Antonio Garcia Cancino</t>
  </si>
  <si>
    <t>1 polaris+3 minoxidil 1mg</t>
  </si>
  <si>
    <t>caja</t>
  </si>
  <si>
    <t>caja 2500</t>
  </si>
  <si>
    <t>Capilarium CAPIXYL</t>
  </si>
  <si>
    <t>Capilarium MINOXIDIL</t>
  </si>
  <si>
    <t>2 dutasteride</t>
  </si>
  <si>
    <t>pend. CSF</t>
  </si>
  <si>
    <t xml:space="preserve">	Maria Soledad Garcia Moreno</t>
  </si>
  <si>
    <t>Guadalupe Espinoza Vargas</t>
  </si>
  <si>
    <t xml:space="preserve">	Luis Manuel Garcia Larrañaga</t>
  </si>
  <si>
    <t>Azarischah Ponce De León</t>
  </si>
  <si>
    <t>Angelica Andrade Vega</t>
  </si>
  <si>
    <t>Lorena Terres Torres</t>
  </si>
  <si>
    <t>A 19</t>
  </si>
  <si>
    <t>A 18</t>
  </si>
  <si>
    <t>A 17</t>
  </si>
  <si>
    <t>A 20</t>
  </si>
  <si>
    <t>Lola Rivas Ordorica</t>
  </si>
  <si>
    <t xml:space="preserve">	Alejandra Cerrilla  Ysita</t>
  </si>
  <si>
    <t>MINOXIDIL</t>
  </si>
  <si>
    <t>Anabel Rodriguez Lopez</t>
  </si>
  <si>
    <t>minoxidil 1mg</t>
  </si>
  <si>
    <t>Eduardo Aguirre Estrada</t>
  </si>
  <si>
    <t>Nagibe Moreno Duran</t>
  </si>
  <si>
    <t>Luis Victoria Garcia</t>
  </si>
  <si>
    <t>Andrea Gomez Marroquín</t>
  </si>
  <si>
    <t>José Lorenzo Garcia</t>
  </si>
  <si>
    <t>Erick Vargas Martinez</t>
  </si>
  <si>
    <t>Ernesto Frías Ramos</t>
  </si>
  <si>
    <t>Francisco Jose Carreras Paz</t>
  </si>
  <si>
    <t>Ana Beatriz Paz Carreras</t>
  </si>
  <si>
    <t>Ines Carreras</t>
  </si>
  <si>
    <t>Inyección de dutasteride</t>
  </si>
  <si>
    <t>Laser M22</t>
  </si>
  <si>
    <t>4 epuris</t>
  </si>
  <si>
    <t xml:space="preserve">	Dora Elisa Ortega Nivón</t>
  </si>
  <si>
    <t>Alicia Luna Zarate</t>
  </si>
  <si>
    <t>Alicia Luna Zarate</t>
  </si>
  <si>
    <t>Nctf</t>
  </si>
  <si>
    <t xml:space="preserve">5capillarium white + 5 dutasteride + 5 minoxidil 1mg </t>
  </si>
  <si>
    <t xml:space="preserve">10 polaris + 4 dutasteride +5 minoxidil 5mg </t>
  </si>
  <si>
    <t>Rocio Bandín</t>
  </si>
  <si>
    <t>Mauricio Salome Ribaya</t>
  </si>
  <si>
    <t>Hanna Gary Braun</t>
  </si>
  <si>
    <t>Andrea Landsmanas Gary</t>
  </si>
  <si>
    <t>Andrés Hurtado Makedonsky</t>
  </si>
  <si>
    <t>José Metta Nousairi</t>
  </si>
  <si>
    <t>José Metta Nousairi</t>
  </si>
  <si>
    <t>Paola Mariana Barrera Carmona</t>
  </si>
  <si>
    <t>Federico Castro Jourdain</t>
  </si>
  <si>
    <t>Ana Cecilia C</t>
  </si>
  <si>
    <t>capilarium white</t>
  </si>
  <si>
    <t xml:space="preserve">	Paula Andrea Fabrega Roncagliolo</t>
  </si>
  <si>
    <t xml:space="preserve">1 polaris + 1 minoxidil 2.5mg </t>
  </si>
  <si>
    <t>⁠nctf</t>
  </si>
  <si>
    <t>Ramon Torres Ramirez</t>
  </si>
  <si>
    <t>Lizbeth Meléndez Hernández</t>
  </si>
  <si>
    <t>Jemile Rayek Ambe</t>
  </si>
  <si>
    <t>Rafael Djaddh Shakalo</t>
  </si>
  <si>
    <t>Javier Mercado Dunand</t>
  </si>
  <si>
    <t>Jared Mancinas</t>
  </si>
  <si>
    <t>Alejandra Zavala García</t>
  </si>
  <si>
    <t>Emilio Garcia Plascencia</t>
  </si>
  <si>
    <t>3 epuris</t>
  </si>
  <si>
    <t>loción + pastillas</t>
  </si>
  <si>
    <t>1 dutasteride+ 1 polaris + 1 minoxidil 5mg</t>
  </si>
  <si>
    <t>Angelica Glenda Lopez Vazquez</t>
  </si>
  <si>
    <t>Laura Lidia Sauzo Ayala</t>
  </si>
  <si>
    <t>Alonso Perez Avila</t>
  </si>
  <si>
    <t>Raul Perez Velazquez</t>
  </si>
  <si>
    <t>Sofia Hano Jazzan</t>
  </si>
  <si>
    <t>Silvana Ramirez Angulo</t>
  </si>
  <si>
    <t>Roberto Meza Castillo</t>
  </si>
  <si>
    <t>Daniela Robles Gutierrez</t>
  </si>
  <si>
    <t>Amalia Martínez García</t>
  </si>
  <si>
    <t>Grecia Lisset Moreno Anda</t>
  </si>
  <si>
    <t>Sandra Daniela Sánchez Soto</t>
  </si>
  <si>
    <t>Elia Annette Bernard Guerrero</t>
  </si>
  <si>
    <t>Sandra Iniesta Reyes</t>
  </si>
  <si>
    <t>Cristina Diep Suriñach</t>
  </si>
  <si>
    <t>Amanda Martínez Alanís</t>
  </si>
  <si>
    <t>PEND CSF</t>
  </si>
  <si>
    <t>A 26</t>
  </si>
  <si>
    <t>A 22</t>
  </si>
  <si>
    <t>A 23</t>
  </si>
  <si>
    <t>A 25</t>
  </si>
  <si>
    <t>PV/Botox</t>
  </si>
  <si>
    <t>A 24</t>
  </si>
  <si>
    <t>A 28</t>
  </si>
  <si>
    <t>A 29</t>
  </si>
  <si>
    <t>A 27</t>
  </si>
  <si>
    <t>ag locion</t>
  </si>
  <si>
    <t>vastonin</t>
  </si>
  <si>
    <t>locion</t>
  </si>
  <si>
    <t>Ilana Andermann Yoselevitz</t>
  </si>
  <si>
    <t>medicamentos</t>
  </si>
  <si>
    <t>A 31</t>
  </si>
  <si>
    <t>minoxidil 5 mg</t>
  </si>
  <si>
    <t>1 minoxidil 1 mg + 1 capilarium white</t>
  </si>
  <si>
    <t>se cobro dr.Barrera 20/05</t>
  </si>
  <si>
    <t xml:space="preserve">Carlos Rincon Gallardo </t>
  </si>
  <si>
    <t xml:space="preserve">limpieza </t>
  </si>
  <si>
    <t>Ana Luisa Velasco Monroy</t>
  </si>
  <si>
    <t>Hector Arzate Kanan</t>
  </si>
  <si>
    <t>Blanca Alicia Aguirre Fernández</t>
  </si>
  <si>
    <t>3 minoxidil 5mg+ 2 minoxidil 1 mg</t>
  </si>
  <si>
    <t xml:space="preserve">Eduardo Trujillo Barraza </t>
  </si>
  <si>
    <t>Fernanda Arroyo Aldana</t>
  </si>
  <si>
    <t>1 minoxidil 5 mg + 1 polaris</t>
  </si>
  <si>
    <t>Patricio  Martinez Bernáldez</t>
  </si>
  <si>
    <t>Elisa Rivas Ávalos</t>
  </si>
  <si>
    <t>Karla Cantu</t>
  </si>
  <si>
    <t>Jose Antonio Avila Garcia</t>
  </si>
  <si>
    <t>Maria del Pilar Riesgo Álvarez</t>
  </si>
  <si>
    <t>Eric Mora</t>
  </si>
  <si>
    <t>Adriana Benitez Tirado</t>
  </si>
  <si>
    <t>Alejandra Nava Laris</t>
  </si>
  <si>
    <t>Oscar Ramirez Trujillo</t>
  </si>
  <si>
    <t>Taleen Dersdepanian López Tolsa</t>
  </si>
  <si>
    <t>Pablo Estrada Fuentes</t>
  </si>
  <si>
    <t>Gabriela Zerecero Leon</t>
  </si>
  <si>
    <t>Alan Santiago Castillo</t>
  </si>
  <si>
    <t>Paulina Lujambio Mondragon</t>
  </si>
  <si>
    <t>Brenda Villanueva</t>
  </si>
  <si>
    <t>Mía Levinstein Morales</t>
  </si>
  <si>
    <t>limpieza facial profunda</t>
  </si>
  <si>
    <t>hydrafacial deluxe</t>
  </si>
  <si>
    <t>lasser axila</t>
  </si>
  <si>
    <t>Andres Arozarena Marquez</t>
  </si>
  <si>
    <t>enzimas</t>
  </si>
  <si>
    <t>Marcela Gutiérrez Torres</t>
  </si>
  <si>
    <t>Gabriela Buenfil</t>
  </si>
  <si>
    <t>Hydrafacial signature</t>
  </si>
  <si>
    <t xml:space="preserve">loción </t>
  </si>
  <si>
    <t>protector</t>
  </si>
  <si>
    <t xml:space="preserve">Oscar José Escamilla mendoza </t>
  </si>
  <si>
    <t>Lilia Fisch Ortega</t>
  </si>
  <si>
    <t xml:space="preserve">Limpieza con Hidratación </t>
  </si>
  <si>
    <t xml:space="preserve">bigote </t>
  </si>
  <si>
    <t>axilas</t>
  </si>
  <si>
    <t>Jersson David Valdivia Toledo</t>
  </si>
  <si>
    <t>Joyce Rosyela Shukei Gil Valdez</t>
  </si>
  <si>
    <t>Israel Romero Rodríguez</t>
  </si>
  <si>
    <t>Mayra Citlali Ponce Martinez</t>
  </si>
  <si>
    <t>Paulina Mellado Castro</t>
  </si>
  <si>
    <t>Rocio Castro Ramos</t>
  </si>
  <si>
    <t>pv/botox</t>
  </si>
  <si>
    <t>una sola factura con mayra</t>
  </si>
  <si>
    <t>Arturo Pinto Granados</t>
  </si>
  <si>
    <t>João Benjamin Peusner</t>
  </si>
  <si>
    <t>Martin Eduardo Peusner</t>
  </si>
  <si>
    <t>Emilio Rodríguez Rea</t>
  </si>
  <si>
    <t>Patricio Berdon</t>
  </si>
  <si>
    <t>Virginia Valdes Santos</t>
  </si>
  <si>
    <t>Olivia Carolina Chavero Rodriguez</t>
  </si>
  <si>
    <t xml:space="preserve">Minoxidil </t>
  </si>
  <si>
    <t>Gel hydra essence</t>
  </si>
  <si>
    <t>Lazartigue</t>
  </si>
  <si>
    <t>Gel sebiaclear</t>
  </si>
  <si>
    <t>A 34</t>
  </si>
  <si>
    <t>A 35</t>
  </si>
  <si>
    <t>A 33</t>
  </si>
  <si>
    <t>A 32</t>
  </si>
  <si>
    <t>A 36</t>
  </si>
  <si>
    <t>Botox y maseteros</t>
  </si>
  <si>
    <t>Andrea Kinerette Camacho Amaro</t>
  </si>
  <si>
    <t>e</t>
  </si>
  <si>
    <t>botox/Scultra</t>
  </si>
  <si>
    <t>Mariano Alberto Mazariegos Robles</t>
  </si>
  <si>
    <t>Patricia Garcilazo Martinez</t>
  </si>
  <si>
    <t>Andres Armando Rivera Ramírez</t>
  </si>
  <si>
    <t>Maite Sapiña Errecat</t>
  </si>
  <si>
    <t>Liliana Nayeli Flores Martinez</t>
  </si>
  <si>
    <t>Jhon Baudovin</t>
  </si>
  <si>
    <t>infiltración</t>
  </si>
  <si>
    <t>Ariana Moreno</t>
  </si>
  <si>
    <t>tricopat</t>
  </si>
  <si>
    <t>Diana Morgado Iglesias</t>
  </si>
  <si>
    <t>Karen Ppeper</t>
  </si>
  <si>
    <t>serum</t>
  </si>
  <si>
    <t>mascarilla</t>
  </si>
  <si>
    <t>shampoo</t>
  </si>
  <si>
    <t xml:space="preserve">profhilo </t>
  </si>
  <si>
    <t>Gerardo Zurbrugg Guerrero</t>
  </si>
  <si>
    <t>Forty + 6 minoxidil 2.5</t>
  </si>
  <si>
    <t>Rosalia Nava Garces</t>
  </si>
  <si>
    <t>Andrés González Collado</t>
  </si>
  <si>
    <t>Rosy Jafif</t>
  </si>
  <si>
    <t>Rodrigo Ruiz Bermudez</t>
  </si>
  <si>
    <t>Juan Carlos Ramirez De la Cruz</t>
  </si>
  <si>
    <t>Luciana Caceres Agueda</t>
  </si>
  <si>
    <t>José David González Romero</t>
  </si>
  <si>
    <t>Irene Ambe Sitton</t>
  </si>
  <si>
    <t>Tomas Garcia Requejo</t>
  </si>
  <si>
    <t>S/Favor $200</t>
  </si>
  <si>
    <t>pend csf</t>
  </si>
  <si>
    <t xml:space="preserve">Irene Ambe Sitton </t>
  </si>
  <si>
    <t xml:space="preserve"> Maria Jose Farias Hernandez</t>
  </si>
  <si>
    <t>tarjeta</t>
  </si>
  <si>
    <t>Renata González Martínez</t>
  </si>
  <si>
    <t>Adolfo Chavez Mendoza</t>
  </si>
  <si>
    <t>Mariana Alcala Robles</t>
  </si>
  <si>
    <t>Maria Guadalupe Trejo Rodríguez</t>
  </si>
  <si>
    <t>CO2</t>
  </si>
  <si>
    <t>Loción White + 3 minoxidil 2.5</t>
  </si>
  <si>
    <t>Sashelly Ucha Martin del Campo</t>
  </si>
  <si>
    <t>Sofia Ruiz Diaz</t>
  </si>
  <si>
    <t>Silvana Dávila Primmer</t>
  </si>
  <si>
    <t>José Antonio Borrajo Venegas</t>
  </si>
  <si>
    <t>Julian Pizzuto Castro</t>
  </si>
  <si>
    <t>Irene del Carmen Ruiz Clemente</t>
  </si>
  <si>
    <t>Anais Atilano Velásquez</t>
  </si>
  <si>
    <t>Argelia Estrada Ramirez</t>
  </si>
  <si>
    <t>Maria Gabriela Pazos González</t>
  </si>
  <si>
    <t>Janet Salomé Dahbura</t>
  </si>
  <si>
    <t>Jorge Carlos Cabrera Méndez</t>
  </si>
  <si>
    <t>Deneb Algedi Morales Barquet</t>
  </si>
  <si>
    <t xml:space="preserve">3 minoxidil 5mg + 1polaris </t>
  </si>
  <si>
    <t>pend factura</t>
  </si>
  <si>
    <t>3 minoxidil 1 mg+1 polaris</t>
  </si>
  <si>
    <t>capilarium</t>
  </si>
  <si>
    <t>A 38</t>
  </si>
  <si>
    <t>A 39</t>
  </si>
  <si>
    <t>A 40</t>
  </si>
  <si>
    <t>A 41</t>
  </si>
  <si>
    <t xml:space="preserve">3 era de luz pulsada </t>
  </si>
  <si>
    <t>1 capilarium +1 polaris</t>
  </si>
  <si>
    <t>Andrea Marchad</t>
  </si>
  <si>
    <t>2 scaraid</t>
  </si>
  <si>
    <t>agaotra</t>
  </si>
  <si>
    <t>glow</t>
  </si>
  <si>
    <t xml:space="preserve">Nctf/luz pulsada </t>
  </si>
  <si>
    <t>limpieza facial</t>
  </si>
  <si>
    <t>crema Hydra</t>
  </si>
  <si>
    <t xml:space="preserve">medias Piernas </t>
  </si>
  <si>
    <t xml:space="preserve">depilación </t>
  </si>
  <si>
    <t>TIZO</t>
  </si>
  <si>
    <t>polaris + 2 dutasteride</t>
  </si>
  <si>
    <t>se cobro dr.Barrera 29/05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</si>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</sst>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8" tint="-0.249977111117893"/>
      <name val="Aptos Narrow"/>
      <family val="2"/>
      <scheme val="minor"/>
    </font>
    <font>
      <b/>
      <sz val="20"/>
      <color theme="7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rgb="FF000000"/>
      <name val="Arial"/>
      <family val="2"/>
    </font>
    <font>
      <sz val="14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0"/>
      <color theme="1"/>
      <name val="Arial"/>
      <family val="2"/>
    </font>
    <font>
      <sz val="11"/>
      <color rgb="FF242727"/>
      <name val="Aptos Display"/>
      <family val="2"/>
      <scheme val="maj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9"/>
      <name val="Arial"/>
      <family val="2"/>
    </font>
    <font>
      <sz val="10"/>
      <name val="Arial"/>
      <family val="2"/>
    </font>
    <font>
      <sz val="12"/>
      <color rgb="FF242727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3" fillId="3" borderId="0" xfId="0" applyNumberFormat="1" applyFont="1" applyFill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4" fontId="2" fillId="2" borderId="1" xfId="1" applyNumberFormat="1" applyFont="1" applyFill="1" applyBorder="1" applyAlignment="1" applyProtection="1">
      <alignment horizontal="center"/>
    </xf>
    <xf numFmtId="164" fontId="0" fillId="0" borderId="0" xfId="1" applyNumberFormat="1" applyFont="1" applyAlignment="1" applyProtection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3" fillId="0" borderId="0" xfId="0" applyFont="1"/>
    <xf numFmtId="0" fontId="12" fillId="0" borderId="0" xfId="0" applyFont="1"/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10" fillId="0" borderId="0" xfId="0" applyFont="1"/>
    <xf numFmtId="14" fontId="13" fillId="0" borderId="0" xfId="0" applyNumberFormat="1" applyFont="1"/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9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14" fontId="16" fillId="0" borderId="0" xfId="0" applyNumberFormat="1" applyFont="1"/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14" fontId="3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bottom" textRotation="0" wrapText="0" indent="0" justifyLastLine="0" shrinkToFit="0" readingOrder="0"/>
      <protection locked="1" hidden="0"/>
    </dxf>
    <dxf>
      <numFmt numFmtId="164" formatCode="_-&quot;$&quot;* #,##0_-;\-&quot;$&quot;* #,##0_-;_-&quot;$&quot;* &quot;-&quot;??_-;_-@_-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* #,##0_-;\-&quot;$&quot;* #,##0_-;_-&quot;$&quot;* &quot;-&quot;??_-;_-@_-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alignment horizontal="center" textRotation="0" wrapText="0" indent="0" justifyLastLine="0" shrinkToFit="0" readingOrder="0"/>
    </dxf>
    <dxf>
      <numFmt numFmtId="164" formatCode="_-&quot;$&quot;* #,##0_-;\-&quot;$&quot;* #,##0_-;_-&quot;$&quot;* &quot;-&quot;??_-;_-@_-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$&quot;* #,##0_-;\-&quot;$&quot;* #,##0_-;_-&quot;$&quot;* &quot;-&quot;??_-;_-@_-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$&quot;* #,##0_-;\-&quot;$&quot;* #,##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$&quot;* #,##0_-;\-&quot;$&quot;* #,##0_-;_-&quot;$&quot;* &quot;-&quot;??_-;_-@_-"/>
    </dxf>
    <dxf>
      <alignment horizont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963023</xdr:colOff>
      <xdr:row>0</xdr:row>
      <xdr:rowOff>0</xdr:rowOff>
    </xdr:from>
    <xdr:to>
      <xdr:col>5</xdr:col>
      <xdr:colOff>680900</xdr:colOff>
      <xdr:row>3</xdr:row>
      <xdr:rowOff>134076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3218968-BF70-49BB-9B83-2B7570777D3A}"/>
            </a:ext>
          </a:extLst>
        </xdr:cNvPr>
        <xdr:cNvSpPr txBox="1"/>
      </xdr:nvSpPr>
      <xdr:spPr>
        <a:xfrm>
          <a:off x="3896723" y="165826"/>
          <a:ext cx="4701357" cy="6997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latin typeface="Century Gothic" panose="020B0502020202020204" pitchFamily="34" charset="0"/>
            </a:rPr>
            <a:t>REGISTRO DE</a:t>
          </a:r>
          <a:r>
            <a:rPr lang="es-MX" sz="1600" b="1" baseline="0">
              <a:latin typeface="Century Gothic" panose="020B0502020202020204" pitchFamily="34" charset="0"/>
            </a:rPr>
            <a:t> CONSULTAS</a:t>
          </a:r>
        </a:p>
        <a:p>
          <a:pPr algn="ctr"/>
          <a:r>
            <a:rPr lang="es-MX" sz="1600" b="1" baseline="0">
              <a:latin typeface="Century Gothic" panose="020B0502020202020204" pitchFamily="34" charset="0"/>
            </a:rPr>
            <a:t> Y PROCEDIMIENTOS</a:t>
          </a:r>
          <a:endParaRPr lang="es-MX" sz="1100" b="1"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54179</xdr:rowOff>
    </xdr:from>
    <xdr:to>
      <xdr:col>1</xdr:col>
      <xdr:colOff>437807</xdr:colOff>
      <xdr:row>3</xdr:row>
      <xdr:rowOff>91325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D53F5-23A1-4A9D-A860-7FD80E564A12}"/>
            </a:ext>
            <a:ext uri="{147F2762-F138-4A5C-976F-8EAC2B608ADB}">
              <a16:predDERef xmlns:a16="http://schemas.microsoft.com/office/drawing/2014/main" pred="{60E2CFD4-EC31-4EAE-9DD5-8D2F0603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059"/>
          <a:ext cx="1405547" cy="585786"/>
        </a:xfrm>
        <a:prstGeom prst="rect">
          <a:avLst/>
        </a:prstGeom>
      </xdr:spPr>
    </xdr:pic>
    <xdr:clientData/>
  </xdr:twoCellAnchor>
  <xdr:twoCellAnchor editAs="oneCell">
    <xdr:from>
      <xdr:col>1</xdr:col>
      <xdr:colOff>959508</xdr:colOff>
      <xdr:row>1</xdr:row>
      <xdr:rowOff>79468</xdr:rowOff>
    </xdr:from>
    <xdr:to>
      <xdr:col>2</xdr:col>
      <xdr:colOff>132080</xdr:colOff>
      <xdr:row>2</xdr:row>
      <xdr:rowOff>103524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6A7E2D-B70B-4689-BEF9-76FF98CF7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7248" y="445228"/>
          <a:ext cx="1138532" cy="2069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963023</xdr:colOff>
      <xdr:row>0</xdr:row>
      <xdr:rowOff>165826</xdr:rowOff>
    </xdr:from>
    <xdr:to>
      <xdr:col>5</xdr:col>
      <xdr:colOff>680900</xdr:colOff>
      <xdr:row>4</xdr:row>
      <xdr:rowOff>134076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1A92ABD-EECC-42C7-935E-EC1EBA3C0080}"/>
            </a:ext>
          </a:extLst>
        </xdr:cNvPr>
        <xdr:cNvSpPr txBox="1"/>
      </xdr:nvSpPr>
      <xdr:spPr>
        <a:xfrm>
          <a:off x="4972594" y="165826"/>
          <a:ext cx="2892877" cy="6939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latin typeface="Century Gothic" panose="020B0502020202020204" pitchFamily="34" charset="0"/>
            </a:rPr>
            <a:t>REGISTRO DE</a:t>
          </a:r>
          <a:r>
            <a:rPr lang="es-MX" sz="1600" b="1" baseline="0">
              <a:latin typeface="Century Gothic" panose="020B0502020202020204" pitchFamily="34" charset="0"/>
            </a:rPr>
            <a:t> CONSULTAS</a:t>
          </a:r>
        </a:p>
        <a:p>
          <a:pPr algn="ctr"/>
          <a:r>
            <a:rPr lang="es-MX" sz="1600" b="1" baseline="0">
              <a:latin typeface="Century Gothic" panose="020B0502020202020204" pitchFamily="34" charset="0"/>
            </a:rPr>
            <a:t> Y PROCEDIMIENTOS</a:t>
          </a:r>
          <a:endParaRPr lang="es-MX" sz="1100" b="1"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101600</xdr:colOff>
      <xdr:row>2</xdr:row>
      <xdr:rowOff>54179</xdr:rowOff>
    </xdr:from>
    <xdr:to>
      <xdr:col>1</xdr:col>
      <xdr:colOff>539407</xdr:colOff>
      <xdr:row>6</xdr:row>
      <xdr:rowOff>27825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85B48-8D9A-4627-B12F-CB8B6CF1006E}"/>
            </a:ext>
            <a:ext uri="{147F2762-F138-4A5C-976F-8EAC2B608ADB}">
              <a16:predDERef xmlns:a16="http://schemas.microsoft.com/office/drawing/2014/main" pred="{60E2CFD4-EC31-4EAE-9DD5-8D2F0603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409779"/>
          <a:ext cx="1517307" cy="570546"/>
        </a:xfrm>
        <a:prstGeom prst="rect">
          <a:avLst/>
        </a:prstGeom>
      </xdr:spPr>
    </xdr:pic>
    <xdr:clientData/>
  </xdr:twoCellAnchor>
  <xdr:twoCellAnchor editAs="oneCell">
    <xdr:from>
      <xdr:col>1</xdr:col>
      <xdr:colOff>959508</xdr:colOff>
      <xdr:row>2</xdr:row>
      <xdr:rowOff>79468</xdr:rowOff>
    </xdr:from>
    <xdr:to>
      <xdr:col>2</xdr:col>
      <xdr:colOff>132080</xdr:colOff>
      <xdr:row>4</xdr:row>
      <xdr:rowOff>40024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B5FACB-5229-1F6A-8DF9-5DB749E25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3349" y="460468"/>
          <a:ext cx="1077572" cy="2203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E02FAEA-EF3F-9A3C-D7EE-DE74986F3253}"/>
            </a:ext>
          </a:extLst>
        </xdr:cNvPr>
        <xdr:cNvSpPr>
          <a:spLocks noChangeAspect="1" noChangeArrowheads="1"/>
        </xdr:cNvSpPr>
      </xdr:nvSpPr>
      <xdr:spPr bwMode="auto">
        <a:xfrm>
          <a:off x="942975" y="450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5CA9DEC-90AF-4C92-8075-4605FF898C8F}"/>
            </a:ext>
          </a:extLst>
        </xdr:cNvPr>
        <xdr:cNvSpPr>
          <a:spLocks noChangeAspect="1" noChangeArrowheads="1"/>
        </xdr:cNvSpPr>
      </xdr:nvSpPr>
      <xdr:spPr bwMode="auto">
        <a:xfrm>
          <a:off x="944563" y="448389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0AB4F8D-13EA-4E28-8E01-8A194C46B86C}"/>
            </a:ext>
          </a:extLst>
        </xdr:cNvPr>
        <xdr:cNvSpPr>
          <a:spLocks noChangeAspect="1" noChangeArrowheads="1"/>
        </xdr:cNvSpPr>
      </xdr:nvSpPr>
      <xdr:spPr bwMode="auto">
        <a:xfrm>
          <a:off x="944563" y="448389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889000</xdr:colOff>
      <xdr:row>8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4998EA5-1237-47E7-87C2-B4DBDFC8B113}"/>
            </a:ext>
          </a:extLst>
        </xdr:cNvPr>
        <xdr:cNvSpPr>
          <a:spLocks noChangeAspect="1" noChangeArrowheads="1"/>
        </xdr:cNvSpPr>
      </xdr:nvSpPr>
      <xdr:spPr bwMode="auto">
        <a:xfrm>
          <a:off x="889000" y="456009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889000</xdr:colOff>
      <xdr:row>8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4C959E1-49B2-4030-A371-31F2FDD6A084}"/>
            </a:ext>
          </a:extLst>
        </xdr:cNvPr>
        <xdr:cNvSpPr>
          <a:spLocks noChangeAspect="1" noChangeArrowheads="1"/>
        </xdr:cNvSpPr>
      </xdr:nvSpPr>
      <xdr:spPr bwMode="auto">
        <a:xfrm>
          <a:off x="889000" y="456009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889000</xdr:colOff>
      <xdr:row>8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608F7AA-7DA7-4F6C-81AA-211F1ED291BE}"/>
            </a:ext>
          </a:extLst>
        </xdr:cNvPr>
        <xdr:cNvSpPr>
          <a:spLocks noChangeAspect="1" noChangeArrowheads="1"/>
        </xdr:cNvSpPr>
      </xdr:nvSpPr>
      <xdr:spPr bwMode="auto">
        <a:xfrm>
          <a:off x="889000" y="457914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920750</xdr:colOff>
      <xdr:row>8</xdr:row>
      <xdr:rowOff>0</xdr:rowOff>
    </xdr:from>
    <xdr:to>
      <xdr:col>1</xdr:col>
      <xdr:colOff>280987</xdr:colOff>
      <xdr:row>9</xdr:row>
      <xdr:rowOff>114300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BF627D65-1DAF-4654-F330-3B8D667D7D67}"/>
            </a:ext>
          </a:extLst>
        </xdr:cNvPr>
        <xdr:cNvSpPr>
          <a:spLocks noChangeAspect="1" noChangeArrowheads="1"/>
        </xdr:cNvSpPr>
      </xdr:nvSpPr>
      <xdr:spPr bwMode="auto">
        <a:xfrm>
          <a:off x="920750" y="544274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230187</xdr:colOff>
      <xdr:row>8</xdr:row>
      <xdr:rowOff>0</xdr:rowOff>
    </xdr:from>
    <xdr:ext cx="304800" cy="304800"/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DEB680EA-E325-418A-8382-46FECAF6AFB0}"/>
            </a:ext>
          </a:extLst>
        </xdr:cNvPr>
        <xdr:cNvSpPr>
          <a:spLocks noChangeAspect="1" noChangeArrowheads="1"/>
        </xdr:cNvSpPr>
      </xdr:nvSpPr>
      <xdr:spPr bwMode="auto">
        <a:xfrm>
          <a:off x="1174750" y="5684043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920750</xdr:colOff>
      <xdr:row>8</xdr:row>
      <xdr:rowOff>0</xdr:rowOff>
    </xdr:from>
    <xdr:ext cx="304800" cy="304800"/>
    <xdr:sp macro="" textlink="">
      <xdr:nvSpPr>
        <xdr:cNvPr id="11" name="AutoShape 12">
          <a:extLst>
            <a:ext uri="{FF2B5EF4-FFF2-40B4-BE49-F238E27FC236}">
              <a16:creationId xmlns:a16="http://schemas.microsoft.com/office/drawing/2014/main" id="{78820351-7AFB-4266-9FDD-39A0964D1D4C}"/>
            </a:ext>
          </a:extLst>
        </xdr:cNvPr>
        <xdr:cNvSpPr>
          <a:spLocks noChangeAspect="1" noChangeArrowheads="1"/>
        </xdr:cNvSpPr>
      </xdr:nvSpPr>
      <xdr:spPr bwMode="auto">
        <a:xfrm>
          <a:off x="920750" y="576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920750</xdr:colOff>
      <xdr:row>8</xdr:row>
      <xdr:rowOff>0</xdr:rowOff>
    </xdr:from>
    <xdr:ext cx="304800" cy="304800"/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954975AB-D27F-423A-830D-B9E072922AFA}"/>
            </a:ext>
          </a:extLst>
        </xdr:cNvPr>
        <xdr:cNvSpPr>
          <a:spLocks noChangeAspect="1" noChangeArrowheads="1"/>
        </xdr:cNvSpPr>
      </xdr:nvSpPr>
      <xdr:spPr bwMode="auto">
        <a:xfrm>
          <a:off x="920750" y="561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920750</xdr:colOff>
      <xdr:row>8</xdr:row>
      <xdr:rowOff>0</xdr:rowOff>
    </xdr:from>
    <xdr:ext cx="304800" cy="304800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8D9CEDC1-4104-4EC3-BCC6-4ED6499B528A}"/>
            </a:ext>
          </a:extLst>
        </xdr:cNvPr>
        <xdr:cNvSpPr>
          <a:spLocks noChangeAspect="1" noChangeArrowheads="1"/>
        </xdr:cNvSpPr>
      </xdr:nvSpPr>
      <xdr:spPr bwMode="auto">
        <a:xfrm>
          <a:off x="920750" y="563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920750</xdr:colOff>
      <xdr:row>8</xdr:row>
      <xdr:rowOff>0</xdr:rowOff>
    </xdr:from>
    <xdr:ext cx="304800" cy="304800"/>
    <xdr:sp macro="" textlink="">
      <xdr:nvSpPr>
        <xdr:cNvPr id="14" name="AutoShape 12">
          <a:extLst>
            <a:ext uri="{FF2B5EF4-FFF2-40B4-BE49-F238E27FC236}">
              <a16:creationId xmlns:a16="http://schemas.microsoft.com/office/drawing/2014/main" id="{F9E9E65E-84EB-440E-A7D6-C67DF8199487}"/>
            </a:ext>
          </a:extLst>
        </xdr:cNvPr>
        <xdr:cNvSpPr>
          <a:spLocks noChangeAspect="1" noChangeArrowheads="1"/>
        </xdr:cNvSpPr>
      </xdr:nvSpPr>
      <xdr:spPr bwMode="auto">
        <a:xfrm>
          <a:off x="920750" y="565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7937</xdr:colOff>
      <xdr:row>8</xdr:row>
      <xdr:rowOff>0</xdr:rowOff>
    </xdr:from>
    <xdr:ext cx="304800" cy="304800"/>
    <xdr:sp macro="" textlink="">
      <xdr:nvSpPr>
        <xdr:cNvPr id="15" name="AutoShape 12">
          <a:extLst>
            <a:ext uri="{FF2B5EF4-FFF2-40B4-BE49-F238E27FC236}">
              <a16:creationId xmlns:a16="http://schemas.microsoft.com/office/drawing/2014/main" id="{77F854E0-ABB5-4DF4-8354-77595372C3D0}"/>
            </a:ext>
          </a:extLst>
        </xdr:cNvPr>
        <xdr:cNvSpPr>
          <a:spLocks noChangeAspect="1" noChangeArrowheads="1"/>
        </xdr:cNvSpPr>
      </xdr:nvSpPr>
      <xdr:spPr bwMode="auto">
        <a:xfrm>
          <a:off x="952500" y="5687218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963023</xdr:colOff>
      <xdr:row>0</xdr:row>
      <xdr:rowOff>165826</xdr:rowOff>
    </xdr:from>
    <xdr:to>
      <xdr:col>5</xdr:col>
      <xdr:colOff>680900</xdr:colOff>
      <xdr:row>4</xdr:row>
      <xdr:rowOff>134076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B7ED3A4-2281-4DB1-9066-F43E812B90EE}"/>
            </a:ext>
          </a:extLst>
        </xdr:cNvPr>
        <xdr:cNvSpPr txBox="1"/>
      </xdr:nvSpPr>
      <xdr:spPr>
        <a:xfrm>
          <a:off x="3896723" y="165826"/>
          <a:ext cx="4701357" cy="6997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latin typeface="Century Gothic" panose="020B0502020202020204" pitchFamily="34" charset="0"/>
            </a:rPr>
            <a:t>REGISTRO DE</a:t>
          </a:r>
          <a:r>
            <a:rPr lang="es-MX" sz="1600" b="1" baseline="0">
              <a:latin typeface="Century Gothic" panose="020B0502020202020204" pitchFamily="34" charset="0"/>
            </a:rPr>
            <a:t> CONSULTAS</a:t>
          </a:r>
        </a:p>
        <a:p>
          <a:pPr algn="ctr"/>
          <a:r>
            <a:rPr lang="es-MX" sz="1600" b="1" baseline="0">
              <a:latin typeface="Century Gothic" panose="020B0502020202020204" pitchFamily="34" charset="0"/>
            </a:rPr>
            <a:t> Y PROCEDIMIENTOS</a:t>
          </a:r>
          <a:endParaRPr lang="es-MX" sz="1100" b="1"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54179</xdr:rowOff>
    </xdr:from>
    <xdr:to>
      <xdr:col>1</xdr:col>
      <xdr:colOff>437807</xdr:colOff>
      <xdr:row>4</xdr:row>
      <xdr:rowOff>91325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82831-F4BD-455E-9F9D-0803D44DA7D3}"/>
            </a:ext>
            <a:ext uri="{147F2762-F138-4A5C-976F-8EAC2B608ADB}">
              <a16:predDERef xmlns:a16="http://schemas.microsoft.com/office/drawing/2014/main" pred="{60E2CFD4-EC31-4EAE-9DD5-8D2F0603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059"/>
          <a:ext cx="1405547" cy="585786"/>
        </a:xfrm>
        <a:prstGeom prst="rect">
          <a:avLst/>
        </a:prstGeom>
      </xdr:spPr>
    </xdr:pic>
    <xdr:clientData/>
  </xdr:twoCellAnchor>
  <xdr:twoCellAnchor editAs="oneCell">
    <xdr:from>
      <xdr:col>1</xdr:col>
      <xdr:colOff>959508</xdr:colOff>
      <xdr:row>2</xdr:row>
      <xdr:rowOff>79468</xdr:rowOff>
    </xdr:from>
    <xdr:to>
      <xdr:col>2</xdr:col>
      <xdr:colOff>132080</xdr:colOff>
      <xdr:row>3</xdr:row>
      <xdr:rowOff>103524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76CBB9-4E3C-4760-9480-62BE83DA5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7248" y="445228"/>
          <a:ext cx="1138532" cy="2069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963023</xdr:colOff>
      <xdr:row>0</xdr:row>
      <xdr:rowOff>165826</xdr:rowOff>
    </xdr:from>
    <xdr:to>
      <xdr:col>5</xdr:col>
      <xdr:colOff>680900</xdr:colOff>
      <xdr:row>4</xdr:row>
      <xdr:rowOff>134076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1C88DB-199C-4FA3-AB6F-AA287EC4BFAE}"/>
            </a:ext>
          </a:extLst>
        </xdr:cNvPr>
        <xdr:cNvSpPr txBox="1"/>
      </xdr:nvSpPr>
      <xdr:spPr>
        <a:xfrm>
          <a:off x="3896723" y="165826"/>
          <a:ext cx="4701357" cy="6997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latin typeface="Century Gothic" panose="020B0502020202020204" pitchFamily="34" charset="0"/>
            </a:rPr>
            <a:t>REGISTRO DE</a:t>
          </a:r>
          <a:r>
            <a:rPr lang="es-MX" sz="1600" b="1" baseline="0">
              <a:latin typeface="Century Gothic" panose="020B0502020202020204" pitchFamily="34" charset="0"/>
            </a:rPr>
            <a:t> CONSULTAS</a:t>
          </a:r>
        </a:p>
        <a:p>
          <a:pPr algn="ctr"/>
          <a:r>
            <a:rPr lang="es-MX" sz="1600" b="1" baseline="0">
              <a:latin typeface="Century Gothic" panose="020B0502020202020204" pitchFamily="34" charset="0"/>
            </a:rPr>
            <a:t> Y PROCEDIMIENTOS</a:t>
          </a:r>
          <a:endParaRPr lang="es-MX" sz="1100" b="1"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54179</xdr:rowOff>
    </xdr:from>
    <xdr:to>
      <xdr:col>1</xdr:col>
      <xdr:colOff>437807</xdr:colOff>
      <xdr:row>4</xdr:row>
      <xdr:rowOff>91325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8CFABD-87D0-407B-B938-E4FBE13F818D}"/>
            </a:ext>
            <a:ext uri="{147F2762-F138-4A5C-976F-8EAC2B608ADB}">
              <a16:predDERef xmlns:a16="http://schemas.microsoft.com/office/drawing/2014/main" pred="{60E2CFD4-EC31-4EAE-9DD5-8D2F0603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059"/>
          <a:ext cx="1405547" cy="585786"/>
        </a:xfrm>
        <a:prstGeom prst="rect">
          <a:avLst/>
        </a:prstGeom>
      </xdr:spPr>
    </xdr:pic>
    <xdr:clientData/>
  </xdr:twoCellAnchor>
  <xdr:twoCellAnchor editAs="oneCell">
    <xdr:from>
      <xdr:col>1</xdr:col>
      <xdr:colOff>959508</xdr:colOff>
      <xdr:row>2</xdr:row>
      <xdr:rowOff>79468</xdr:rowOff>
    </xdr:from>
    <xdr:to>
      <xdr:col>1</xdr:col>
      <xdr:colOff>2037080</xdr:colOff>
      <xdr:row>3</xdr:row>
      <xdr:rowOff>103524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AA558E-026D-4812-83B6-A2ABBA3E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7248" y="445228"/>
          <a:ext cx="1138532" cy="2069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160682</xdr:colOff>
      <xdr:row>1</xdr:row>
      <xdr:rowOff>68580</xdr:rowOff>
    </xdr:from>
    <xdr:to>
      <xdr:col>3</xdr:col>
      <xdr:colOff>1089659</xdr:colOff>
      <xdr:row>4</xdr:row>
      <xdr:rowOff>15240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893F04-6EC2-480B-9923-BB57A2AF4216}"/>
            </a:ext>
          </a:extLst>
        </xdr:cNvPr>
        <xdr:cNvSpPr txBox="1"/>
      </xdr:nvSpPr>
      <xdr:spPr>
        <a:xfrm>
          <a:off x="1997102" y="251460"/>
          <a:ext cx="2513937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latin typeface="Century Gothic" panose="020B0502020202020204" pitchFamily="34" charset="0"/>
            </a:rPr>
            <a:t>CIERRE DIARIO DE CONSULTAS Y PROCEDIMIENTOS</a:t>
          </a:r>
          <a:endParaRPr lang="es-MX" sz="1000" b="1"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9282</xdr:rowOff>
    </xdr:from>
    <xdr:to>
      <xdr:col>0</xdr:col>
      <xdr:colOff>871622</xdr:colOff>
      <xdr:row>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CC51BA-904A-4961-9778-CC00C0C8880E}"/>
            </a:ext>
            <a:ext uri="{147F2762-F138-4A5C-976F-8EAC2B608ADB}">
              <a16:predDERef xmlns:a16="http://schemas.microsoft.com/office/drawing/2014/main" pred="{60E2CFD4-EC31-4EAE-9DD5-8D2F0603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82"/>
          <a:ext cx="871622" cy="356478"/>
        </a:xfrm>
        <a:prstGeom prst="rect">
          <a:avLst/>
        </a:prstGeom>
      </xdr:spPr>
    </xdr:pic>
    <xdr:clientData/>
  </xdr:twoCellAnchor>
  <xdr:twoCellAnchor editAs="oneCell">
    <xdr:from>
      <xdr:col>0</xdr:col>
      <xdr:colOff>1036456</xdr:colOff>
      <xdr:row>0</xdr:row>
      <xdr:rowOff>114525</xdr:rowOff>
    </xdr:from>
    <xdr:to>
      <xdr:col>0</xdr:col>
      <xdr:colOff>1777365</xdr:colOff>
      <xdr:row>1</xdr:row>
      <xdr:rowOff>69405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F5C1AE-96A7-4348-AABD-C00275F8A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456" y="114525"/>
          <a:ext cx="769484" cy="1377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BF6242-D050-4877-8986-CCBF9225689D}" name="BD_ALEJANDRA" displayName="BD_ALEJANDRA" ref="A7:K222" totalsRowShown="0" headerRowDxfId="21">
  <autoFilter ref="A7:K222" xr:uid="{BFBF6242-D050-4877-8986-CCBF9225689D}"/>
  <tableColumns count="11">
    <tableColumn id="1" xr3:uid="{FA62E2C1-C9F1-4999-9CF8-73373D2BC879}" name="FECHA" dataDxfId="20"/>
    <tableColumn id="2" xr3:uid="{1CAEB491-9A60-480C-971A-865023006FBB}" name="NOMBRE DEL PACIENTE"/>
    <tableColumn id="4" xr3:uid="{4C244514-8524-4E56-8D8D-A606AAD4F8CE}" name="TIPO DE CONSULTA" dataDxfId="19"/>
    <tableColumn id="5" xr3:uid="{5FF7101B-098C-4186-AA10-584348BBF2FA}" name="MONTO" dataDxfId="18" dataCellStyle="Moneda"/>
    <tableColumn id="6" xr3:uid="{63F9D54E-3E6F-4605-ACCC-23D49BCD0BA8}" name="MEDIO DE PAGO"/>
    <tableColumn id="7" xr3:uid="{BBEF641A-08C5-42CB-9EC5-70BEBD6C545B}" name="FACTURADO" dataDxfId="17"/>
    <tableColumn id="8" xr3:uid="{3E3227E1-F3E1-4E38-808C-A4714C8A687A}" name="NÚMERO RECIBO"/>
    <tableColumn id="9" xr3:uid="{0A544501-D965-46D2-9547-4D7FFF39906C}" name="NÚMERO FACTURA"/>
    <tableColumn id="10" xr3:uid="{5FB7E8CA-72FD-4526-BAD8-848FCCE0815C}" name="FUENTE"/>
    <tableColumn id="11" xr3:uid="{87C9A78E-BE9A-4B5A-9DDB-557150FCE8F5}" name="OBSERVACIONES"/>
    <tableColumn id="3" xr3:uid="{381F964B-315D-44ED-9F00-B78A14F5AFEF}" name="Columna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CEFBB3-78BF-4A9B-89C2-A9140953FBE2}" name="BD_CARLOS" displayName="BD_CARLOS" ref="A8:J230" totalsRowShown="0" headerRowDxfId="27">
  <autoFilter ref="A8:J230" xr:uid="{95CEFBB3-78BF-4A9B-89C2-A9140953FBE2}"/>
  <tableColumns count="10">
    <tableColumn id="1" xr3:uid="{4C33D9AB-FDE3-41FC-8AC1-D7BA7083D779}" name="FECHA" dataDxfId="26"/>
    <tableColumn id="2" xr3:uid="{52796C5E-0E16-4C2E-B80B-E14B78DD7533}" name="NOMBRE DEL PACIENTE" dataDxfId="25"/>
    <tableColumn id="4" xr3:uid="{FFB842A3-20C3-463F-AA48-AA6E2927613B}" name="TIPO DE CONSULTA" dataDxfId="24"/>
    <tableColumn id="5" xr3:uid="{8D593474-5698-497A-9124-5C18C1251E1A}" name="MONTO" dataDxfId="23" dataCellStyle="Moneda"/>
    <tableColumn id="6" xr3:uid="{36586293-D2A2-46C3-98AB-71818A5FDA6D}" name="MEDIO DE PAGO"/>
    <tableColumn id="7" xr3:uid="{92AF9E32-FB7C-427C-92C3-9E3B9BD3EBA0}" name="FACTURADO" dataDxfId="22"/>
    <tableColumn id="8" xr3:uid="{2B5312E6-3AE4-4876-B01B-A20BEC5A258E}" name="NÚMERO RECIBO"/>
    <tableColumn id="9" xr3:uid="{32109441-B475-497A-A7D3-3F787BB19688}" name="NÚMERO FACTURA"/>
    <tableColumn id="10" xr3:uid="{685CAB05-B58F-47C3-AB4E-6CC0DE4DA1C3}" name="FUENTE"/>
    <tableColumn id="11" xr3:uid="{09F3CDE7-C5ED-4FA7-82F8-02F6AB7ECD43}" name="OBSERVACION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9F8E71-936D-41AF-9D60-54AD9041F1AE}" name="BD_COSM1" displayName="BD_COSM1" ref="A8:J34" totalsRowShown="0" headerRowDxfId="16">
  <tableColumns count="10">
    <tableColumn id="1" xr3:uid="{EEBD3AED-37E6-4B1F-AB0B-E4D42014BD23}" name="FECHA" dataDxfId="15"/>
    <tableColumn id="2" xr3:uid="{4B05AB43-F120-40D2-80ED-B913C6B89473}" name="NOMBRE DEL PACIENTE"/>
    <tableColumn id="4" xr3:uid="{4600B6FE-8E0D-4E42-A888-A85CDEC8FBF0}" name="TIPO DE CONSULTA"/>
    <tableColumn id="5" xr3:uid="{0545A17D-BC2A-49B2-9688-48170D3F2C26}" name="MONTO" dataDxfId="14" dataCellStyle="Moneda"/>
    <tableColumn id="6" xr3:uid="{04EA9E99-D650-46E1-9FB2-E4D78555945B}" name="MEDIO DE PAGO"/>
    <tableColumn id="7" xr3:uid="{F7D0BC23-DE9E-49A9-BA00-388026D2DE99}" name="FACTURADO"/>
    <tableColumn id="8" xr3:uid="{374C2D84-BA51-41FC-955F-E904E9296F50}" name="NÚMERO RECIBO"/>
    <tableColumn id="9" xr3:uid="{A7BAA04D-7B0B-4770-9A9E-072054FE86EF}" name="NÚMERO FACTURA"/>
    <tableColumn id="10" xr3:uid="{8EE0E36A-EBCF-45D0-89B7-58735B17739A}" name="FUENTE"/>
    <tableColumn id="11" xr3:uid="{A1F7CE39-2D5E-4407-9EB4-292B6A3B11AE}" name="OBSERVACIONE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7519AD-58CF-48F3-A966-12F7BB3A0D95}" name="BD_COSM2" displayName="BD_COSM2" ref="A8:J67" totalsRowShown="0" headerRowDxfId="13">
  <autoFilter ref="A8:J67" xr:uid="{0F7519AD-58CF-48F3-A966-12F7BB3A0D95}">
    <filterColumn colId="4">
      <filters>
        <filter val="AMEX"/>
        <filter val="TARJETA CREDITO"/>
        <filter val="TARJETA DEBITO"/>
      </filters>
    </filterColumn>
    <filterColumn colId="9">
      <filters blank="1"/>
    </filterColumn>
  </autoFilter>
  <tableColumns count="10">
    <tableColumn id="1" xr3:uid="{4FC639B9-1660-47A8-9010-1AF1DCBDB33B}" name="FECHA" dataDxfId="12"/>
    <tableColumn id="2" xr3:uid="{7F7EC639-3483-4D0F-9C75-EF87BA25A017}" name="NOMBRE DEL PACIENTE"/>
    <tableColumn id="4" xr3:uid="{1EA8BF84-AF5B-4820-B696-3256F26740BD}" name="TIPO DE CONSULTA" dataDxfId="11"/>
    <tableColumn id="5" xr3:uid="{7782A967-5A16-40D1-8D97-4CE5689B05B8}" name="MONTO" dataDxfId="10" dataCellStyle="Moneda"/>
    <tableColumn id="6" xr3:uid="{E68434B7-E13B-4222-AF47-2786E21EA87F}" name="MEDIO DE PAGO"/>
    <tableColumn id="7" xr3:uid="{AAA84A6C-D9DC-4EEA-823B-B6E982453F07}" name="FACTURADO" dataDxfId="9"/>
    <tableColumn id="8" xr3:uid="{3DB3816B-5407-4599-A20A-4FB8AC7C5056}" name="NÚMERO RECIBO"/>
    <tableColumn id="9" xr3:uid="{9FA2D3AB-250B-4A91-911F-B58709F5EA09}" name="NÚMERO FACTURA"/>
    <tableColumn id="10" xr3:uid="{4417E7D0-EF18-4F85-8E54-242224D34639}" name="FUENTE"/>
    <tableColumn id="11" xr3:uid="{CC722627-96EA-4414-BE9F-58ECDDA26E6F}" name="OBSERVACIONE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9F6865-1A8A-4ADB-AB62-72E2145FEF43}" name="Tabla6" displayName="Tabla6" ref="A10:G14" totalsRowShown="0" headerRowDxfId="8" dataDxfId="7" dataCellStyle="Moneda">
  <autoFilter ref="A10:G14" xr:uid="{309F6865-1A8A-4ADB-AB62-72E2145FEF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13D14B5-2E79-40C3-8263-74E446F341CC}" name="EQUIPO" dataDxfId="6"/>
    <tableColumn id="2" xr3:uid="{287FE95C-5440-4551-8117-8A95348B3D2C}" name="AMEX" dataDxfId="5" dataCellStyle="Moneda"/>
    <tableColumn id="3" xr3:uid="{F718604C-FF08-4AF8-91C1-C7A6AF16CF14}" name="EFECTIVO" dataDxfId="4" dataCellStyle="Moneda"/>
    <tableColumn id="4" xr3:uid="{E9E10C0B-BC10-4978-B4D6-30A890C28D10}" name="TARJETA CREDITO" dataDxfId="3" dataCellStyle="Moneda"/>
    <tableColumn id="5" xr3:uid="{D0EAFDC7-6465-4D1D-9D6E-6D5626EA0107}" name="TARJETA DEBITO" dataDxfId="2">
      <calculatedColumnFormula>+SUMIFS(BD_ALEJANDRA[[#All],[MONTO]],BD_ALEJANDRA[[#All],[MEDIO DE PAGO]],'CIERRE DIARIO'!$E$10,BD_ALEJANDRA[[#All],[FECHA]],'CIERRE DIARIO'!$A$8)</calculatedColumnFormula>
    </tableColumn>
    <tableColumn id="6" xr3:uid="{F84BDA8B-2130-4E63-8148-0AAE7BF53A81}" name="TRANSFERENCIA" dataDxfId="1" dataCellStyle="Moneda"/>
    <tableColumn id="7" xr3:uid="{E352139A-EFE1-4F59-9C07-D147BF0E5272}" name="TOTAL" dataDxfId="0" dataCellStyle="Moneda">
      <calculatedColumnFormula>+SUM(B11:F11)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E533-8E21-4261-AF57-7BAA8DAA51E9}">
  <sheetPr>
    <tabColor theme="8" tint="0.59999389629810485"/>
  </sheetPr>
  <dimension ref="A6:K222"/>
  <sheetViews>
    <sheetView showGridLines="0" zoomScale="115" zoomScaleNormal="115" workbookViewId="0">
      <pane ySplit="7" topLeftCell="A210" activePane="bottomLeft" state="frozen"/>
      <selection pane="bottomLeft" activeCell="A222" sqref="A222"/>
    </sheetView>
  </sheetViews>
  <sheetFormatPr baseColWidth="10" defaultColWidth="0" defaultRowHeight="14.4" x14ac:dyDescent="0.3"/>
  <cols>
    <col min="1" max="1" width="14.109375" style="1" customWidth="1"/>
    <col min="2" max="2" width="28.5546875" bestFit="1" customWidth="1"/>
    <col min="3" max="3" width="47.33203125" customWidth="1"/>
    <col min="4" max="4" width="11.6640625" bestFit="1" customWidth="1"/>
    <col min="5" max="5" width="16.33203125" customWidth="1"/>
    <col min="6" max="6" width="13.109375" customWidth="1"/>
    <col min="7" max="7" width="17" customWidth="1"/>
    <col min="8" max="8" width="18.44140625" customWidth="1"/>
    <col min="9" max="9" width="14.6640625" bestFit="1" customWidth="1"/>
    <col min="10" max="10" width="17.44140625" customWidth="1"/>
    <col min="11" max="11" width="11.44140625" customWidth="1"/>
    <col min="12" max="16384" width="11.44140625" hidden="1"/>
  </cols>
  <sheetData>
    <row r="6" spans="1:11" ht="18" x14ac:dyDescent="0.35">
      <c r="A6" s="44" t="s">
        <v>84</v>
      </c>
    </row>
    <row r="7" spans="1:1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324</v>
      </c>
    </row>
    <row r="8" spans="1:11" x14ac:dyDescent="0.3">
      <c r="A8" s="14">
        <v>46144</v>
      </c>
      <c r="B8" s="33" t="s">
        <v>221</v>
      </c>
      <c r="C8" s="1" t="s">
        <v>222</v>
      </c>
      <c r="D8" s="3">
        <v>100000</v>
      </c>
      <c r="E8" t="s">
        <v>103</v>
      </c>
      <c r="F8" s="1" t="s">
        <v>46</v>
      </c>
    </row>
    <row r="9" spans="1:11" x14ac:dyDescent="0.3">
      <c r="A9" s="14">
        <v>46146</v>
      </c>
      <c r="B9" t="s">
        <v>124</v>
      </c>
      <c r="C9" s="1" t="s">
        <v>182</v>
      </c>
      <c r="D9" s="3">
        <v>1800</v>
      </c>
      <c r="E9" t="s">
        <v>76</v>
      </c>
      <c r="F9" s="1" t="s">
        <v>51</v>
      </c>
      <c r="J9" t="s">
        <v>301</v>
      </c>
    </row>
    <row r="10" spans="1:11" x14ac:dyDescent="0.3">
      <c r="A10" s="14">
        <v>46146</v>
      </c>
      <c r="B10" t="s">
        <v>124</v>
      </c>
      <c r="C10" s="1" t="s">
        <v>228</v>
      </c>
      <c r="D10" s="3">
        <v>1500</v>
      </c>
      <c r="E10" t="s">
        <v>76</v>
      </c>
      <c r="F10" s="1" t="s">
        <v>51</v>
      </c>
      <c r="J10" t="s">
        <v>91</v>
      </c>
    </row>
    <row r="11" spans="1:11" x14ac:dyDescent="0.3">
      <c r="A11" s="14">
        <v>46146</v>
      </c>
      <c r="B11" t="s">
        <v>58</v>
      </c>
      <c r="C11" s="1" t="s">
        <v>65</v>
      </c>
      <c r="D11" s="3">
        <v>2500</v>
      </c>
      <c r="E11" t="s">
        <v>103</v>
      </c>
      <c r="F11" s="1" t="s">
        <v>46</v>
      </c>
    </row>
    <row r="12" spans="1:11" x14ac:dyDescent="0.3">
      <c r="A12" s="14">
        <v>46146</v>
      </c>
      <c r="B12" t="s">
        <v>229</v>
      </c>
      <c r="C12" s="1" t="s">
        <v>62</v>
      </c>
      <c r="D12" s="3">
        <v>1800</v>
      </c>
      <c r="E12" t="s">
        <v>103</v>
      </c>
      <c r="F12" s="1" t="s">
        <v>31</v>
      </c>
    </row>
    <row r="13" spans="1:11" x14ac:dyDescent="0.3">
      <c r="A13" s="14">
        <v>46146</v>
      </c>
      <c r="B13" t="s">
        <v>230</v>
      </c>
      <c r="C13" s="1" t="s">
        <v>62</v>
      </c>
      <c r="D13" s="3">
        <v>1800</v>
      </c>
      <c r="E13" t="s">
        <v>103</v>
      </c>
      <c r="F13" s="1" t="s">
        <v>46</v>
      </c>
    </row>
    <row r="14" spans="1:11" x14ac:dyDescent="0.3">
      <c r="A14" s="14">
        <v>46146</v>
      </c>
      <c r="B14" t="s">
        <v>231</v>
      </c>
      <c r="C14" s="1" t="s">
        <v>62</v>
      </c>
      <c r="D14" s="3">
        <v>0</v>
      </c>
      <c r="E14" t="s">
        <v>102</v>
      </c>
      <c r="F14" s="1"/>
    </row>
    <row r="15" spans="1:11" x14ac:dyDescent="0.3">
      <c r="A15" s="14">
        <v>46146</v>
      </c>
      <c r="B15" t="s">
        <v>120</v>
      </c>
      <c r="C15" s="1" t="s">
        <v>241</v>
      </c>
      <c r="D15" s="3">
        <v>3500</v>
      </c>
      <c r="E15" t="s">
        <v>103</v>
      </c>
      <c r="F15" s="1" t="s">
        <v>51</v>
      </c>
    </row>
    <row r="16" spans="1:11" x14ac:dyDescent="0.3">
      <c r="A16" s="14">
        <v>46146</v>
      </c>
      <c r="B16" t="s">
        <v>236</v>
      </c>
      <c r="C16" s="1" t="s">
        <v>205</v>
      </c>
      <c r="D16" s="3">
        <v>3000</v>
      </c>
      <c r="E16" t="s">
        <v>103</v>
      </c>
      <c r="F16" s="1"/>
    </row>
    <row r="17" spans="1:10" x14ac:dyDescent="0.3">
      <c r="A17" s="14">
        <v>46146</v>
      </c>
      <c r="B17" t="s">
        <v>236</v>
      </c>
      <c r="C17" s="1" t="s">
        <v>605</v>
      </c>
      <c r="D17" s="3">
        <v>1200</v>
      </c>
      <c r="E17" t="s">
        <v>103</v>
      </c>
      <c r="F17" s="1"/>
    </row>
    <row r="18" spans="1:10" x14ac:dyDescent="0.3">
      <c r="A18" s="14">
        <v>46147</v>
      </c>
      <c r="B18" t="s">
        <v>243</v>
      </c>
      <c r="C18" s="1" t="s">
        <v>28</v>
      </c>
      <c r="D18" s="3">
        <v>1800</v>
      </c>
      <c r="E18" t="s">
        <v>76</v>
      </c>
      <c r="F18" s="1" t="s">
        <v>46</v>
      </c>
    </row>
    <row r="19" spans="1:10" x14ac:dyDescent="0.3">
      <c r="A19" s="14">
        <v>46147</v>
      </c>
      <c r="B19" t="s">
        <v>243</v>
      </c>
      <c r="C19" s="1" t="s">
        <v>244</v>
      </c>
      <c r="D19" s="3">
        <v>2500</v>
      </c>
      <c r="E19" t="s">
        <v>76</v>
      </c>
      <c r="F19" s="1" t="s">
        <v>46</v>
      </c>
    </row>
    <row r="20" spans="1:10" x14ac:dyDescent="0.3">
      <c r="A20" s="14">
        <v>46147</v>
      </c>
      <c r="B20" t="s">
        <v>243</v>
      </c>
      <c r="C20" s="1" t="s">
        <v>246</v>
      </c>
      <c r="D20" s="3">
        <v>3000</v>
      </c>
      <c r="E20" t="s">
        <v>76</v>
      </c>
      <c r="F20" s="1" t="s">
        <v>46</v>
      </c>
    </row>
    <row r="21" spans="1:10" x14ac:dyDescent="0.3">
      <c r="A21" s="14">
        <v>46147</v>
      </c>
      <c r="B21" t="s">
        <v>243</v>
      </c>
      <c r="C21" s="1" t="s">
        <v>245</v>
      </c>
      <c r="D21" s="3">
        <v>1200</v>
      </c>
      <c r="E21" t="s">
        <v>76</v>
      </c>
      <c r="F21" s="1" t="s">
        <v>46</v>
      </c>
    </row>
    <row r="22" spans="1:10" x14ac:dyDescent="0.3">
      <c r="A22" s="14">
        <v>46147</v>
      </c>
      <c r="B22" t="s">
        <v>202</v>
      </c>
      <c r="C22" s="1" t="s">
        <v>24</v>
      </c>
      <c r="D22" s="3">
        <v>1640</v>
      </c>
      <c r="E22" t="s">
        <v>103</v>
      </c>
      <c r="F22" s="1" t="s">
        <v>51</v>
      </c>
      <c r="J22" t="s">
        <v>268</v>
      </c>
    </row>
    <row r="23" spans="1:10" x14ac:dyDescent="0.3">
      <c r="A23" s="14">
        <v>46147</v>
      </c>
      <c r="B23" t="s">
        <v>247</v>
      </c>
      <c r="C23" s="1" t="s">
        <v>29</v>
      </c>
      <c r="D23" s="3">
        <v>6500</v>
      </c>
      <c r="E23" t="s">
        <v>269</v>
      </c>
      <c r="F23" s="1" t="s">
        <v>51</v>
      </c>
    </row>
    <row r="24" spans="1:10" x14ac:dyDescent="0.3">
      <c r="A24" s="14">
        <v>46147</v>
      </c>
      <c r="B24" t="s">
        <v>248</v>
      </c>
      <c r="C24" s="1" t="s">
        <v>24</v>
      </c>
      <c r="D24" s="3">
        <v>1800</v>
      </c>
      <c r="E24" t="s">
        <v>16</v>
      </c>
      <c r="F24" s="1" t="s">
        <v>51</v>
      </c>
      <c r="J24" t="s">
        <v>271</v>
      </c>
    </row>
    <row r="25" spans="1:10" x14ac:dyDescent="0.3">
      <c r="A25" s="14">
        <v>46147</v>
      </c>
      <c r="B25" t="s">
        <v>98</v>
      </c>
      <c r="C25" s="1" t="s">
        <v>28</v>
      </c>
      <c r="D25" s="3">
        <v>0</v>
      </c>
      <c r="E25" t="s">
        <v>102</v>
      </c>
      <c r="F25" s="1"/>
    </row>
    <row r="26" spans="1:10" x14ac:dyDescent="0.3">
      <c r="A26" s="14">
        <v>46147</v>
      </c>
      <c r="B26" t="s">
        <v>115</v>
      </c>
      <c r="C26" s="1" t="s">
        <v>122</v>
      </c>
      <c r="D26" s="3">
        <v>800</v>
      </c>
      <c r="E26" t="s">
        <v>17</v>
      </c>
      <c r="F26" s="1" t="s">
        <v>51</v>
      </c>
    </row>
    <row r="27" spans="1:10" x14ac:dyDescent="0.3">
      <c r="A27" s="14">
        <v>46148</v>
      </c>
      <c r="B27" t="s">
        <v>279</v>
      </c>
      <c r="C27" s="1" t="s">
        <v>30</v>
      </c>
      <c r="D27" s="3">
        <v>1800</v>
      </c>
      <c r="E27" t="s">
        <v>103</v>
      </c>
      <c r="F27" s="1" t="s">
        <v>46</v>
      </c>
    </row>
    <row r="28" spans="1:10" x14ac:dyDescent="0.3">
      <c r="A28" s="14">
        <v>46148</v>
      </c>
      <c r="B28" t="s">
        <v>279</v>
      </c>
      <c r="C28" s="1" t="s">
        <v>44</v>
      </c>
      <c r="D28" s="3">
        <v>1300</v>
      </c>
      <c r="E28" t="s">
        <v>103</v>
      </c>
      <c r="F28" s="1" t="s">
        <v>46</v>
      </c>
    </row>
    <row r="29" spans="1:10" x14ac:dyDescent="0.3">
      <c r="A29" s="14">
        <v>46148</v>
      </c>
      <c r="B29" t="s">
        <v>279</v>
      </c>
      <c r="C29" s="1" t="s">
        <v>282</v>
      </c>
      <c r="D29" s="3">
        <v>500</v>
      </c>
      <c r="E29" t="s">
        <v>103</v>
      </c>
      <c r="F29" s="1" t="s">
        <v>46</v>
      </c>
      <c r="J29" t="s">
        <v>283</v>
      </c>
    </row>
    <row r="30" spans="1:10" x14ac:dyDescent="0.3">
      <c r="A30" s="14">
        <v>46148</v>
      </c>
      <c r="B30" t="s">
        <v>280</v>
      </c>
      <c r="C30" s="1" t="s">
        <v>28</v>
      </c>
      <c r="D30" s="3">
        <v>1800</v>
      </c>
      <c r="E30" t="s">
        <v>103</v>
      </c>
      <c r="F30" s="1" t="s">
        <v>46</v>
      </c>
    </row>
    <row r="31" spans="1:10" x14ac:dyDescent="0.3">
      <c r="A31" s="14">
        <v>46148</v>
      </c>
      <c r="B31" t="s">
        <v>281</v>
      </c>
      <c r="C31" s="1" t="s">
        <v>29</v>
      </c>
      <c r="D31" s="3">
        <v>5850</v>
      </c>
      <c r="E31" t="s">
        <v>16</v>
      </c>
      <c r="F31" s="1"/>
    </row>
    <row r="32" spans="1:10" x14ac:dyDescent="0.3">
      <c r="A32" s="14">
        <v>46148</v>
      </c>
      <c r="B32" t="s">
        <v>281</v>
      </c>
      <c r="C32" s="1" t="s">
        <v>33</v>
      </c>
      <c r="D32" s="3">
        <v>1000</v>
      </c>
      <c r="E32" t="s">
        <v>16</v>
      </c>
      <c r="F32" s="1"/>
    </row>
    <row r="33" spans="1:11" x14ac:dyDescent="0.3">
      <c r="A33" s="14">
        <v>46148</v>
      </c>
      <c r="B33" t="s">
        <v>111</v>
      </c>
      <c r="C33" s="1" t="s">
        <v>28</v>
      </c>
      <c r="D33" s="3">
        <v>1800</v>
      </c>
      <c r="E33" t="s">
        <v>103</v>
      </c>
      <c r="F33" s="1" t="s">
        <v>51</v>
      </c>
    </row>
    <row r="34" spans="1:11" x14ac:dyDescent="0.3">
      <c r="A34" s="14">
        <v>46148</v>
      </c>
      <c r="B34" t="s">
        <v>185</v>
      </c>
      <c r="C34" s="1" t="s">
        <v>45</v>
      </c>
      <c r="D34" s="3">
        <v>0</v>
      </c>
      <c r="E34" t="s">
        <v>102</v>
      </c>
      <c r="F34" s="1"/>
    </row>
    <row r="35" spans="1:11" x14ac:dyDescent="0.3">
      <c r="A35" s="14">
        <v>46148</v>
      </c>
      <c r="B35" t="s">
        <v>284</v>
      </c>
      <c r="C35" s="1" t="s">
        <v>28</v>
      </c>
      <c r="D35" s="3">
        <v>1800</v>
      </c>
      <c r="E35" t="s">
        <v>16</v>
      </c>
      <c r="F35" s="1" t="s">
        <v>51</v>
      </c>
    </row>
    <row r="36" spans="1:11" x14ac:dyDescent="0.3">
      <c r="A36" s="14">
        <v>46148</v>
      </c>
      <c r="B36" t="s">
        <v>285</v>
      </c>
      <c r="C36" s="1" t="s">
        <v>297</v>
      </c>
      <c r="D36" s="3">
        <v>21250</v>
      </c>
      <c r="E36" t="s">
        <v>103</v>
      </c>
      <c r="F36" s="1" t="s">
        <v>51</v>
      </c>
    </row>
    <row r="37" spans="1:11" x14ac:dyDescent="0.3">
      <c r="A37" s="14">
        <v>46148</v>
      </c>
      <c r="B37" t="s">
        <v>286</v>
      </c>
      <c r="C37" s="1" t="s">
        <v>293</v>
      </c>
      <c r="D37" s="3">
        <v>0</v>
      </c>
      <c r="E37" t="s">
        <v>102</v>
      </c>
      <c r="F37" s="1"/>
    </row>
    <row r="38" spans="1:11" x14ac:dyDescent="0.3">
      <c r="A38" s="14">
        <v>46148</v>
      </c>
      <c r="B38" t="s">
        <v>287</v>
      </c>
      <c r="C38" s="1" t="s">
        <v>288</v>
      </c>
      <c r="D38" s="3">
        <v>5525</v>
      </c>
      <c r="E38" t="s">
        <v>103</v>
      </c>
      <c r="F38" s="1" t="s">
        <v>46</v>
      </c>
    </row>
    <row r="39" spans="1:11" x14ac:dyDescent="0.3">
      <c r="A39" s="14">
        <v>46148</v>
      </c>
      <c r="B39" t="s">
        <v>296</v>
      </c>
      <c r="C39" s="1" t="s">
        <v>291</v>
      </c>
      <c r="D39" s="3">
        <v>5525</v>
      </c>
      <c r="E39" t="s">
        <v>103</v>
      </c>
      <c r="F39" s="1" t="s">
        <v>46</v>
      </c>
    </row>
    <row r="40" spans="1:11" x14ac:dyDescent="0.3">
      <c r="A40" s="14">
        <v>46148</v>
      </c>
      <c r="B40" t="s">
        <v>289</v>
      </c>
      <c r="C40" s="1" t="s">
        <v>24</v>
      </c>
      <c r="D40" s="3">
        <v>1800</v>
      </c>
      <c r="E40" t="s">
        <v>103</v>
      </c>
      <c r="F40" s="1" t="s">
        <v>51</v>
      </c>
    </row>
    <row r="41" spans="1:11" x14ac:dyDescent="0.3">
      <c r="A41" s="14">
        <v>46148</v>
      </c>
      <c r="B41" t="s">
        <v>289</v>
      </c>
      <c r="C41" s="1" t="s">
        <v>94</v>
      </c>
      <c r="D41" s="3">
        <v>1000</v>
      </c>
      <c r="E41" t="s">
        <v>103</v>
      </c>
      <c r="F41" s="1" t="s">
        <v>51</v>
      </c>
    </row>
    <row r="42" spans="1:11" x14ac:dyDescent="0.3">
      <c r="A42" s="14">
        <v>46148</v>
      </c>
      <c r="B42" t="s">
        <v>290</v>
      </c>
      <c r="C42" s="1" t="s">
        <v>147</v>
      </c>
      <c r="D42" s="3">
        <v>3500</v>
      </c>
      <c r="E42" t="s">
        <v>103</v>
      </c>
      <c r="F42" s="1" t="s">
        <v>51</v>
      </c>
    </row>
    <row r="43" spans="1:11" x14ac:dyDescent="0.3">
      <c r="A43" s="14">
        <v>46148</v>
      </c>
      <c r="B43" t="s">
        <v>290</v>
      </c>
      <c r="C43" s="1" t="s">
        <v>94</v>
      </c>
      <c r="D43" s="3">
        <v>1000</v>
      </c>
      <c r="E43" t="s">
        <v>103</v>
      </c>
      <c r="F43" s="1" t="s">
        <v>51</v>
      </c>
    </row>
    <row r="44" spans="1:11" x14ac:dyDescent="0.3">
      <c r="A44" s="14">
        <v>46149</v>
      </c>
      <c r="B44" t="s">
        <v>298</v>
      </c>
      <c r="C44" s="1" t="s">
        <v>49</v>
      </c>
      <c r="D44" s="3">
        <v>2500</v>
      </c>
      <c r="E44" t="s">
        <v>103</v>
      </c>
      <c r="F44" s="1" t="s">
        <v>51</v>
      </c>
      <c r="J44" t="s">
        <v>91</v>
      </c>
    </row>
    <row r="45" spans="1:11" x14ac:dyDescent="0.3">
      <c r="A45" s="14">
        <v>46149</v>
      </c>
      <c r="B45" t="s">
        <v>124</v>
      </c>
      <c r="C45" s="1" t="s">
        <v>61</v>
      </c>
      <c r="D45" s="3">
        <v>1800</v>
      </c>
      <c r="E45" t="s">
        <v>76</v>
      </c>
      <c r="F45" s="1" t="s">
        <v>51</v>
      </c>
      <c r="J45" t="s">
        <v>323</v>
      </c>
      <c r="K45" t="s">
        <v>301</v>
      </c>
    </row>
    <row r="46" spans="1:11" x14ac:dyDescent="0.3">
      <c r="A46" s="14">
        <v>46149</v>
      </c>
      <c r="B46" t="s">
        <v>124</v>
      </c>
      <c r="C46" s="1" t="s">
        <v>228</v>
      </c>
      <c r="D46" s="3">
        <v>1500</v>
      </c>
      <c r="E46" t="s">
        <v>76</v>
      </c>
      <c r="F46" s="1" t="s">
        <v>51</v>
      </c>
    </row>
    <row r="47" spans="1:11" x14ac:dyDescent="0.3">
      <c r="A47" s="14">
        <v>46150</v>
      </c>
      <c r="B47" t="s">
        <v>308</v>
      </c>
      <c r="C47" s="1" t="s">
        <v>24</v>
      </c>
      <c r="D47" s="3">
        <v>1800</v>
      </c>
      <c r="E47" t="s">
        <v>103</v>
      </c>
      <c r="F47" s="1" t="s">
        <v>46</v>
      </c>
    </row>
    <row r="48" spans="1:11" x14ac:dyDescent="0.3">
      <c r="A48" s="14">
        <v>46150</v>
      </c>
      <c r="B48" t="s">
        <v>309</v>
      </c>
      <c r="C48" s="1" t="s">
        <v>28</v>
      </c>
      <c r="D48" s="3">
        <v>1800</v>
      </c>
      <c r="E48" t="s">
        <v>103</v>
      </c>
      <c r="F48" s="1" t="s">
        <v>46</v>
      </c>
    </row>
    <row r="49" spans="1:10" x14ac:dyDescent="0.3">
      <c r="A49" s="14">
        <v>46150</v>
      </c>
      <c r="B49" t="s">
        <v>310</v>
      </c>
      <c r="C49" s="1" t="s">
        <v>28</v>
      </c>
      <c r="D49" s="3">
        <v>1800</v>
      </c>
      <c r="E49" t="s">
        <v>100</v>
      </c>
      <c r="F49" s="1" t="s">
        <v>46</v>
      </c>
    </row>
    <row r="50" spans="1:10" x14ac:dyDescent="0.3">
      <c r="A50" s="14">
        <v>46150</v>
      </c>
      <c r="B50" t="s">
        <v>310</v>
      </c>
      <c r="C50" s="1" t="s">
        <v>244</v>
      </c>
      <c r="D50" s="3">
        <v>2500</v>
      </c>
      <c r="E50" t="s">
        <v>100</v>
      </c>
      <c r="F50" s="1" t="s">
        <v>46</v>
      </c>
    </row>
    <row r="51" spans="1:10" x14ac:dyDescent="0.3">
      <c r="A51" s="14">
        <v>46150</v>
      </c>
      <c r="B51" s="24" t="s">
        <v>311</v>
      </c>
      <c r="C51" s="1" t="s">
        <v>36</v>
      </c>
      <c r="D51" s="3">
        <v>0</v>
      </c>
      <c r="E51" t="s">
        <v>102</v>
      </c>
      <c r="F51" s="1"/>
    </row>
    <row r="52" spans="1:10" x14ac:dyDescent="0.3">
      <c r="A52" s="14">
        <v>46150</v>
      </c>
      <c r="B52" t="s">
        <v>312</v>
      </c>
      <c r="C52" s="1" t="s">
        <v>59</v>
      </c>
      <c r="D52" s="3">
        <v>2000</v>
      </c>
      <c r="E52" t="s">
        <v>16</v>
      </c>
      <c r="F52" s="1" t="s">
        <v>51</v>
      </c>
    </row>
    <row r="53" spans="1:10" x14ac:dyDescent="0.3">
      <c r="A53" s="14">
        <v>46150</v>
      </c>
      <c r="B53" t="s">
        <v>312</v>
      </c>
      <c r="C53" s="1" t="s">
        <v>339</v>
      </c>
      <c r="D53" s="3">
        <v>4000</v>
      </c>
      <c r="E53" t="s">
        <v>103</v>
      </c>
      <c r="F53" s="1" t="s">
        <v>51</v>
      </c>
    </row>
    <row r="54" spans="1:10" x14ac:dyDescent="0.3">
      <c r="A54" s="14">
        <v>46150</v>
      </c>
      <c r="B54" t="s">
        <v>341</v>
      </c>
      <c r="C54" s="1" t="s">
        <v>65</v>
      </c>
      <c r="D54" s="3">
        <v>2500</v>
      </c>
      <c r="E54" t="s">
        <v>103</v>
      </c>
      <c r="F54" s="1" t="s">
        <v>46</v>
      </c>
    </row>
    <row r="55" spans="1:10" x14ac:dyDescent="0.3">
      <c r="A55" s="14">
        <v>46150</v>
      </c>
      <c r="B55" t="s">
        <v>313</v>
      </c>
      <c r="C55" s="1" t="s">
        <v>28</v>
      </c>
      <c r="D55" s="3">
        <v>1800</v>
      </c>
      <c r="E55" t="s">
        <v>100</v>
      </c>
      <c r="F55" s="1" t="s">
        <v>51</v>
      </c>
    </row>
    <row r="56" spans="1:10" x14ac:dyDescent="0.3">
      <c r="A56" s="14">
        <v>46150</v>
      </c>
      <c r="B56" t="s">
        <v>313</v>
      </c>
      <c r="C56" s="1" t="s">
        <v>344</v>
      </c>
      <c r="D56" s="3">
        <v>500</v>
      </c>
      <c r="E56" t="s">
        <v>100</v>
      </c>
      <c r="F56" s="1" t="s">
        <v>51</v>
      </c>
    </row>
    <row r="57" spans="1:10" x14ac:dyDescent="0.3">
      <c r="A57" s="14">
        <v>46150</v>
      </c>
      <c r="B57" t="s">
        <v>313</v>
      </c>
      <c r="C57" s="1" t="s">
        <v>345</v>
      </c>
      <c r="D57" s="3">
        <v>1000</v>
      </c>
      <c r="E57" t="s">
        <v>100</v>
      </c>
      <c r="F57" s="1"/>
      <c r="J57" t="s">
        <v>346</v>
      </c>
    </row>
    <row r="58" spans="1:10" x14ac:dyDescent="0.3">
      <c r="A58" s="14">
        <v>46150</v>
      </c>
      <c r="B58" t="s">
        <v>314</v>
      </c>
      <c r="C58" s="1" t="s">
        <v>28</v>
      </c>
      <c r="D58" s="3">
        <v>1800</v>
      </c>
      <c r="E58" t="s">
        <v>103</v>
      </c>
      <c r="F58" s="1" t="s">
        <v>46</v>
      </c>
    </row>
    <row r="59" spans="1:10" x14ac:dyDescent="0.3">
      <c r="A59" s="14">
        <v>46150</v>
      </c>
      <c r="B59" t="s">
        <v>315</v>
      </c>
      <c r="C59" s="1" t="s">
        <v>316</v>
      </c>
      <c r="D59" s="3"/>
      <c r="F59" s="1"/>
    </row>
    <row r="60" spans="1:10" x14ac:dyDescent="0.3">
      <c r="A60" s="14">
        <v>46150</v>
      </c>
      <c r="B60" t="s">
        <v>131</v>
      </c>
      <c r="C60" s="1" t="s">
        <v>28</v>
      </c>
      <c r="D60" s="3">
        <v>1800</v>
      </c>
      <c r="E60" t="s">
        <v>103</v>
      </c>
      <c r="F60" s="1" t="s">
        <v>51</v>
      </c>
    </row>
    <row r="61" spans="1:10" x14ac:dyDescent="0.3">
      <c r="A61" s="14">
        <v>46150</v>
      </c>
      <c r="B61" t="s">
        <v>348</v>
      </c>
      <c r="C61" s="1" t="s">
        <v>28</v>
      </c>
      <c r="D61" s="3">
        <v>1800</v>
      </c>
      <c r="E61" t="s">
        <v>103</v>
      </c>
      <c r="F61" s="1" t="s">
        <v>51</v>
      </c>
    </row>
    <row r="62" spans="1:10" x14ac:dyDescent="0.3">
      <c r="A62" s="14">
        <v>46150</v>
      </c>
      <c r="B62" t="s">
        <v>349</v>
      </c>
      <c r="C62" s="1" t="s">
        <v>28</v>
      </c>
      <c r="D62" s="3">
        <v>1800</v>
      </c>
      <c r="E62" t="s">
        <v>103</v>
      </c>
      <c r="F62" s="1" t="s">
        <v>51</v>
      </c>
    </row>
    <row r="63" spans="1:10" x14ac:dyDescent="0.3">
      <c r="A63" s="14">
        <v>46150</v>
      </c>
      <c r="B63" t="s">
        <v>113</v>
      </c>
      <c r="C63" s="1" t="s">
        <v>350</v>
      </c>
      <c r="D63" s="3">
        <v>3300</v>
      </c>
      <c r="E63" t="s">
        <v>103</v>
      </c>
      <c r="F63" s="1" t="s">
        <v>31</v>
      </c>
    </row>
    <row r="64" spans="1:10" x14ac:dyDescent="0.3">
      <c r="A64" s="14">
        <v>46150</v>
      </c>
      <c r="B64" t="s">
        <v>351</v>
      </c>
      <c r="C64" s="1" t="s">
        <v>24</v>
      </c>
      <c r="D64" s="3">
        <v>1800</v>
      </c>
      <c r="E64" t="s">
        <v>103</v>
      </c>
      <c r="F64" s="1" t="s">
        <v>32</v>
      </c>
    </row>
    <row r="65" spans="1:10" x14ac:dyDescent="0.3">
      <c r="A65" s="14">
        <v>46150</v>
      </c>
      <c r="B65" t="s">
        <v>73</v>
      </c>
      <c r="C65" s="1" t="s">
        <v>28</v>
      </c>
      <c r="D65" s="3">
        <v>3500</v>
      </c>
      <c r="E65" t="s">
        <v>103</v>
      </c>
      <c r="F65" s="1" t="s">
        <v>46</v>
      </c>
    </row>
    <row r="66" spans="1:10" x14ac:dyDescent="0.3">
      <c r="A66" s="14">
        <v>46150</v>
      </c>
      <c r="B66" t="s">
        <v>336</v>
      </c>
      <c r="C66" s="1" t="s">
        <v>337</v>
      </c>
      <c r="D66" s="3">
        <v>2000</v>
      </c>
      <c r="E66" t="s">
        <v>16</v>
      </c>
      <c r="F66" s="1" t="s">
        <v>51</v>
      </c>
    </row>
    <row r="67" spans="1:10" x14ac:dyDescent="0.3">
      <c r="A67" s="14">
        <v>46151</v>
      </c>
      <c r="B67" t="s">
        <v>361</v>
      </c>
      <c r="C67" s="1" t="s">
        <v>93</v>
      </c>
      <c r="D67" s="3">
        <v>2500</v>
      </c>
      <c r="E67" t="s">
        <v>103</v>
      </c>
      <c r="F67" s="1" t="s">
        <v>51</v>
      </c>
      <c r="J67" t="s">
        <v>362</v>
      </c>
    </row>
    <row r="68" spans="1:10" x14ac:dyDescent="0.3">
      <c r="A68" s="14">
        <v>46153</v>
      </c>
      <c r="B68" t="s">
        <v>130</v>
      </c>
      <c r="C68" s="1" t="s">
        <v>28</v>
      </c>
      <c r="D68" s="3">
        <v>0</v>
      </c>
      <c r="E68" t="s">
        <v>102</v>
      </c>
      <c r="F68" s="1"/>
    </row>
    <row r="69" spans="1:10" x14ac:dyDescent="0.3">
      <c r="A69" s="14">
        <v>46153</v>
      </c>
      <c r="B69" t="s">
        <v>176</v>
      </c>
      <c r="C69" s="1" t="s">
        <v>45</v>
      </c>
      <c r="D69" s="3">
        <v>0</v>
      </c>
      <c r="E69" t="s">
        <v>102</v>
      </c>
      <c r="F69" s="1"/>
    </row>
    <row r="70" spans="1:10" x14ac:dyDescent="0.3">
      <c r="A70" s="14">
        <v>46153</v>
      </c>
      <c r="B70" t="s">
        <v>365</v>
      </c>
      <c r="C70" s="1" t="s">
        <v>28</v>
      </c>
      <c r="D70" s="3">
        <v>0</v>
      </c>
      <c r="E70" t="s">
        <v>102</v>
      </c>
      <c r="F70" s="1"/>
    </row>
    <row r="71" spans="1:10" x14ac:dyDescent="0.3">
      <c r="A71" s="14">
        <v>46153</v>
      </c>
      <c r="B71" s="36" t="s">
        <v>372</v>
      </c>
      <c r="C71" s="1" t="s">
        <v>373</v>
      </c>
      <c r="D71" s="3">
        <v>1800</v>
      </c>
      <c r="E71" t="s">
        <v>17</v>
      </c>
      <c r="F71" s="1"/>
    </row>
    <row r="72" spans="1:10" x14ac:dyDescent="0.3">
      <c r="A72" s="14">
        <v>46153</v>
      </c>
      <c r="B72" t="s">
        <v>366</v>
      </c>
      <c r="C72" s="1" t="s">
        <v>28</v>
      </c>
      <c r="D72" s="3">
        <v>1800</v>
      </c>
      <c r="E72" t="s">
        <v>100</v>
      </c>
      <c r="F72" s="1" t="s">
        <v>51</v>
      </c>
    </row>
    <row r="73" spans="1:10" x14ac:dyDescent="0.3">
      <c r="A73" s="14">
        <v>46153</v>
      </c>
      <c r="B73" t="s">
        <v>367</v>
      </c>
      <c r="C73" s="1" t="s">
        <v>373</v>
      </c>
      <c r="D73" s="3">
        <v>1800</v>
      </c>
      <c r="E73" t="s">
        <v>17</v>
      </c>
      <c r="F73" s="1"/>
    </row>
    <row r="74" spans="1:10" x14ac:dyDescent="0.3">
      <c r="A74" s="14">
        <v>46153</v>
      </c>
      <c r="B74" t="s">
        <v>368</v>
      </c>
      <c r="C74" s="1" t="s">
        <v>133</v>
      </c>
      <c r="D74" s="3">
        <v>5850</v>
      </c>
      <c r="E74" t="s">
        <v>100</v>
      </c>
      <c r="F74" s="1" t="s">
        <v>51</v>
      </c>
    </row>
    <row r="75" spans="1:10" x14ac:dyDescent="0.3">
      <c r="A75" s="14">
        <v>46153</v>
      </c>
      <c r="B75" t="s">
        <v>369</v>
      </c>
      <c r="C75" s="1" t="s">
        <v>28</v>
      </c>
      <c r="D75" s="3">
        <v>1800</v>
      </c>
      <c r="E75" t="s">
        <v>103</v>
      </c>
      <c r="F75" s="1" t="s">
        <v>64</v>
      </c>
    </row>
    <row r="76" spans="1:10" x14ac:dyDescent="0.3">
      <c r="A76" s="14">
        <v>46153</v>
      </c>
      <c r="B76" t="s">
        <v>369</v>
      </c>
      <c r="C76" s="1" t="s">
        <v>141</v>
      </c>
      <c r="D76" s="3">
        <v>500</v>
      </c>
      <c r="E76" t="s">
        <v>103</v>
      </c>
      <c r="F76" s="1" t="s">
        <v>51</v>
      </c>
    </row>
    <row r="77" spans="1:10" x14ac:dyDescent="0.3">
      <c r="A77" s="14">
        <v>46153</v>
      </c>
      <c r="B77" t="s">
        <v>370</v>
      </c>
      <c r="C77" s="1" t="s">
        <v>28</v>
      </c>
      <c r="D77" s="3">
        <v>1800</v>
      </c>
      <c r="E77" t="s">
        <v>103</v>
      </c>
      <c r="F77" s="1" t="s">
        <v>46</v>
      </c>
    </row>
    <row r="78" spans="1:10" x14ac:dyDescent="0.3">
      <c r="A78" s="14">
        <v>46153</v>
      </c>
      <c r="B78" t="s">
        <v>370</v>
      </c>
      <c r="C78" s="1" t="s">
        <v>377</v>
      </c>
      <c r="D78" s="3">
        <v>2500</v>
      </c>
      <c r="E78" t="s">
        <v>103</v>
      </c>
      <c r="F78" s="1" t="s">
        <v>46</v>
      </c>
    </row>
    <row r="79" spans="1:10" x14ac:dyDescent="0.3">
      <c r="A79" s="14">
        <v>46153</v>
      </c>
      <c r="B79" t="s">
        <v>371</v>
      </c>
      <c r="C79" s="1" t="s">
        <v>28</v>
      </c>
      <c r="D79" s="3">
        <v>1800</v>
      </c>
      <c r="E79" t="s">
        <v>103</v>
      </c>
      <c r="F79" s="1" t="s">
        <v>51</v>
      </c>
    </row>
    <row r="80" spans="1:10" x14ac:dyDescent="0.3">
      <c r="A80" s="14">
        <v>46154</v>
      </c>
      <c r="B80" t="s">
        <v>381</v>
      </c>
      <c r="C80" s="1" t="s">
        <v>28</v>
      </c>
      <c r="D80" s="3">
        <v>0</v>
      </c>
      <c r="E80" t="s">
        <v>102</v>
      </c>
      <c r="F80" s="1"/>
    </row>
    <row r="81" spans="1:6" x14ac:dyDescent="0.3">
      <c r="A81" s="14">
        <v>46154</v>
      </c>
      <c r="B81" t="s">
        <v>382</v>
      </c>
      <c r="C81" s="1" t="s">
        <v>24</v>
      </c>
      <c r="D81" s="3">
        <v>1800</v>
      </c>
      <c r="E81" t="s">
        <v>100</v>
      </c>
      <c r="F81" s="1" t="s">
        <v>46</v>
      </c>
    </row>
    <row r="82" spans="1:6" x14ac:dyDescent="0.3">
      <c r="A82" s="14">
        <v>46154</v>
      </c>
      <c r="B82" t="s">
        <v>383</v>
      </c>
      <c r="C82" s="1" t="s">
        <v>24</v>
      </c>
      <c r="D82" s="3">
        <v>1800</v>
      </c>
      <c r="E82" t="s">
        <v>100</v>
      </c>
      <c r="F82" s="1" t="s">
        <v>32</v>
      </c>
    </row>
    <row r="83" spans="1:6" x14ac:dyDescent="0.3">
      <c r="A83" s="14">
        <v>46154</v>
      </c>
      <c r="B83" t="s">
        <v>384</v>
      </c>
      <c r="C83" s="1" t="s">
        <v>28</v>
      </c>
      <c r="D83" s="3">
        <v>1800</v>
      </c>
      <c r="E83" t="s">
        <v>103</v>
      </c>
      <c r="F83" s="1" t="s">
        <v>46</v>
      </c>
    </row>
    <row r="84" spans="1:6" x14ac:dyDescent="0.3">
      <c r="A84" s="14">
        <v>46154</v>
      </c>
      <c r="B84" t="s">
        <v>385</v>
      </c>
      <c r="C84" s="1" t="s">
        <v>24</v>
      </c>
      <c r="D84" s="3">
        <v>1800</v>
      </c>
      <c r="E84" t="s">
        <v>103</v>
      </c>
      <c r="F84" s="1" t="s">
        <v>46</v>
      </c>
    </row>
    <row r="85" spans="1:6" x14ac:dyDescent="0.3">
      <c r="A85" s="14">
        <v>46154</v>
      </c>
      <c r="B85" t="s">
        <v>385</v>
      </c>
      <c r="C85" s="1" t="s">
        <v>33</v>
      </c>
      <c r="D85" s="3">
        <v>1000</v>
      </c>
      <c r="E85" t="s">
        <v>103</v>
      </c>
      <c r="F85" s="1" t="s">
        <v>46</v>
      </c>
    </row>
    <row r="86" spans="1:6" x14ac:dyDescent="0.3">
      <c r="A86" s="14">
        <v>46154</v>
      </c>
      <c r="B86" t="s">
        <v>386</v>
      </c>
      <c r="C86" s="1" t="s">
        <v>291</v>
      </c>
      <c r="D86" s="3">
        <v>5850</v>
      </c>
      <c r="E86" t="s">
        <v>103</v>
      </c>
      <c r="F86" s="1" t="s">
        <v>46</v>
      </c>
    </row>
    <row r="87" spans="1:6" x14ac:dyDescent="0.3">
      <c r="A87" s="14">
        <v>46154</v>
      </c>
      <c r="B87" t="s">
        <v>386</v>
      </c>
      <c r="C87" s="1" t="s">
        <v>391</v>
      </c>
      <c r="D87" s="3">
        <v>2500</v>
      </c>
      <c r="E87" t="s">
        <v>103</v>
      </c>
      <c r="F87" s="1" t="s">
        <v>46</v>
      </c>
    </row>
    <row r="88" spans="1:6" x14ac:dyDescent="0.3">
      <c r="A88" s="14">
        <v>46154</v>
      </c>
      <c r="B88" t="s">
        <v>197</v>
      </c>
      <c r="C88" s="1" t="s">
        <v>45</v>
      </c>
      <c r="D88" s="3">
        <v>0</v>
      </c>
      <c r="E88" t="s">
        <v>102</v>
      </c>
      <c r="F88" s="1"/>
    </row>
    <row r="89" spans="1:6" x14ac:dyDescent="0.3">
      <c r="A89" s="14">
        <v>46154</v>
      </c>
      <c r="B89" t="s">
        <v>387</v>
      </c>
      <c r="C89" s="1" t="s">
        <v>45</v>
      </c>
      <c r="D89" s="3">
        <v>0</v>
      </c>
      <c r="E89" t="s">
        <v>102</v>
      </c>
      <c r="F89" s="1"/>
    </row>
    <row r="90" spans="1:6" x14ac:dyDescent="0.3">
      <c r="A90" s="14">
        <v>46154</v>
      </c>
      <c r="B90" t="s">
        <v>171</v>
      </c>
      <c r="C90" s="1" t="s">
        <v>45</v>
      </c>
      <c r="D90" s="3">
        <v>0</v>
      </c>
      <c r="E90" t="s">
        <v>102</v>
      </c>
      <c r="F90" s="1"/>
    </row>
    <row r="91" spans="1:6" x14ac:dyDescent="0.3">
      <c r="A91" s="14">
        <v>46155</v>
      </c>
      <c r="B91" t="s">
        <v>394</v>
      </c>
      <c r="C91" s="1" t="s">
        <v>28</v>
      </c>
      <c r="D91" s="3">
        <v>1800</v>
      </c>
      <c r="E91" t="s">
        <v>16</v>
      </c>
      <c r="F91" s="1" t="s">
        <v>51</v>
      </c>
    </row>
    <row r="92" spans="1:6" x14ac:dyDescent="0.3">
      <c r="A92" s="14">
        <v>46155</v>
      </c>
      <c r="B92" t="s">
        <v>394</v>
      </c>
      <c r="C92" s="1" t="s">
        <v>395</v>
      </c>
      <c r="D92" s="3">
        <v>500</v>
      </c>
      <c r="E92" t="s">
        <v>16</v>
      </c>
      <c r="F92" s="1" t="s">
        <v>51</v>
      </c>
    </row>
    <row r="93" spans="1:6" x14ac:dyDescent="0.3">
      <c r="A93" s="14">
        <v>46155</v>
      </c>
      <c r="B93" t="s">
        <v>137</v>
      </c>
      <c r="C93" s="1" t="s">
        <v>28</v>
      </c>
      <c r="D93" s="3">
        <v>1800</v>
      </c>
      <c r="E93" t="s">
        <v>103</v>
      </c>
      <c r="F93" s="1" t="s">
        <v>46</v>
      </c>
    </row>
    <row r="94" spans="1:6" x14ac:dyDescent="0.3">
      <c r="A94" s="14">
        <v>46155</v>
      </c>
      <c r="B94" t="s">
        <v>396</v>
      </c>
      <c r="C94" s="1" t="s">
        <v>28</v>
      </c>
      <c r="D94" s="3">
        <v>1800</v>
      </c>
      <c r="E94" t="s">
        <v>76</v>
      </c>
      <c r="F94" s="1" t="s">
        <v>51</v>
      </c>
    </row>
    <row r="95" spans="1:6" x14ac:dyDescent="0.3">
      <c r="A95" s="14">
        <v>46155</v>
      </c>
      <c r="B95" t="s">
        <v>123</v>
      </c>
      <c r="C95" s="1" t="s">
        <v>28</v>
      </c>
      <c r="D95" s="3">
        <v>1800</v>
      </c>
      <c r="E95" t="s">
        <v>16</v>
      </c>
      <c r="F95" s="1" t="s">
        <v>51</v>
      </c>
    </row>
    <row r="96" spans="1:6" x14ac:dyDescent="0.3">
      <c r="A96" s="14">
        <v>46155</v>
      </c>
      <c r="B96" t="s">
        <v>397</v>
      </c>
      <c r="C96" s="1" t="s">
        <v>24</v>
      </c>
      <c r="D96" s="3">
        <v>1800</v>
      </c>
      <c r="E96" t="s">
        <v>103</v>
      </c>
      <c r="F96" s="1" t="s">
        <v>51</v>
      </c>
    </row>
    <row r="97" spans="1:6" x14ac:dyDescent="0.3">
      <c r="A97" s="14">
        <v>46155</v>
      </c>
      <c r="B97" t="s">
        <v>397</v>
      </c>
      <c r="C97" s="1" t="s">
        <v>411</v>
      </c>
      <c r="D97" s="3">
        <v>500</v>
      </c>
      <c r="E97" t="s">
        <v>103</v>
      </c>
      <c r="F97" s="1" t="s">
        <v>51</v>
      </c>
    </row>
    <row r="98" spans="1:6" x14ac:dyDescent="0.3">
      <c r="A98" s="14">
        <v>46155</v>
      </c>
      <c r="B98" t="s">
        <v>398</v>
      </c>
      <c r="C98" s="1" t="s">
        <v>29</v>
      </c>
      <c r="D98" s="3">
        <v>6500</v>
      </c>
      <c r="E98" t="s">
        <v>103</v>
      </c>
      <c r="F98" s="1" t="s">
        <v>51</v>
      </c>
    </row>
    <row r="99" spans="1:6" x14ac:dyDescent="0.3">
      <c r="A99" s="14">
        <v>46155</v>
      </c>
      <c r="B99" t="s">
        <v>398</v>
      </c>
      <c r="C99" s="1" t="s">
        <v>414</v>
      </c>
      <c r="D99" s="3">
        <v>400</v>
      </c>
      <c r="E99" t="s">
        <v>103</v>
      </c>
      <c r="F99" s="1" t="s">
        <v>51</v>
      </c>
    </row>
    <row r="100" spans="1:6" x14ac:dyDescent="0.3">
      <c r="A100" s="14">
        <v>46155</v>
      </c>
      <c r="B100" t="s">
        <v>399</v>
      </c>
      <c r="C100" s="1" t="s">
        <v>29</v>
      </c>
      <c r="D100" s="3">
        <v>5850</v>
      </c>
      <c r="E100" t="s">
        <v>16</v>
      </c>
      <c r="F100" s="1" t="s">
        <v>51</v>
      </c>
    </row>
    <row r="101" spans="1:6" x14ac:dyDescent="0.3">
      <c r="A101" s="14">
        <v>46157</v>
      </c>
      <c r="B101" t="s">
        <v>312</v>
      </c>
      <c r="C101" s="1" t="s">
        <v>41</v>
      </c>
      <c r="D101" s="3">
        <v>0</v>
      </c>
      <c r="E101" t="s">
        <v>102</v>
      </c>
      <c r="F101" s="1"/>
    </row>
    <row r="102" spans="1:6" x14ac:dyDescent="0.3">
      <c r="A102" s="14">
        <v>46157</v>
      </c>
      <c r="B102" t="s">
        <v>431</v>
      </c>
      <c r="C102" s="1" t="s">
        <v>105</v>
      </c>
      <c r="D102" s="3">
        <v>13000</v>
      </c>
      <c r="E102" t="s">
        <v>103</v>
      </c>
      <c r="F102" s="1" t="s">
        <v>51</v>
      </c>
    </row>
    <row r="103" spans="1:6" x14ac:dyDescent="0.3">
      <c r="A103" s="14">
        <v>46157</v>
      </c>
      <c r="B103" t="s">
        <v>174</v>
      </c>
      <c r="C103" s="1" t="s">
        <v>28</v>
      </c>
      <c r="D103" s="3">
        <v>1800</v>
      </c>
      <c r="E103" t="s">
        <v>100</v>
      </c>
      <c r="F103" s="1" t="s">
        <v>51</v>
      </c>
    </row>
    <row r="104" spans="1:6" x14ac:dyDescent="0.3">
      <c r="A104" s="14">
        <v>46157</v>
      </c>
      <c r="B104" t="s">
        <v>441</v>
      </c>
      <c r="C104" s="1" t="s">
        <v>24</v>
      </c>
      <c r="D104" s="3">
        <v>1800</v>
      </c>
      <c r="E104" t="s">
        <v>103</v>
      </c>
      <c r="F104" s="1" t="s">
        <v>51</v>
      </c>
    </row>
    <row r="105" spans="1:6" x14ac:dyDescent="0.3">
      <c r="A105" s="14">
        <v>46157</v>
      </c>
      <c r="B105" t="s">
        <v>432</v>
      </c>
      <c r="C105" s="1" t="s">
        <v>24</v>
      </c>
      <c r="D105" s="3">
        <v>1800</v>
      </c>
      <c r="E105" t="s">
        <v>103</v>
      </c>
      <c r="F105" s="1" t="s">
        <v>46</v>
      </c>
    </row>
    <row r="106" spans="1:6" x14ac:dyDescent="0.3">
      <c r="A106" s="14">
        <v>46157</v>
      </c>
      <c r="B106" t="s">
        <v>433</v>
      </c>
      <c r="C106" s="1" t="s">
        <v>24</v>
      </c>
      <c r="D106" s="3">
        <v>1800</v>
      </c>
      <c r="E106" t="s">
        <v>103</v>
      </c>
      <c r="F106" s="1" t="s">
        <v>46</v>
      </c>
    </row>
    <row r="107" spans="1:6" x14ac:dyDescent="0.3">
      <c r="A107" s="14">
        <v>46157</v>
      </c>
      <c r="B107" t="s">
        <v>433</v>
      </c>
      <c r="C107" s="1" t="s">
        <v>443</v>
      </c>
      <c r="D107" s="3">
        <v>2500</v>
      </c>
      <c r="E107" t="s">
        <v>103</v>
      </c>
      <c r="F107" s="1" t="s">
        <v>46</v>
      </c>
    </row>
    <row r="108" spans="1:6" x14ac:dyDescent="0.3">
      <c r="A108" s="14">
        <v>46157</v>
      </c>
      <c r="B108" t="s">
        <v>201</v>
      </c>
      <c r="C108" s="1" t="s">
        <v>65</v>
      </c>
      <c r="D108" s="3">
        <v>10000</v>
      </c>
      <c r="E108" t="s">
        <v>103</v>
      </c>
      <c r="F108" s="1" t="s">
        <v>46</v>
      </c>
    </row>
    <row r="109" spans="1:6" x14ac:dyDescent="0.3">
      <c r="A109" s="14">
        <v>46157</v>
      </c>
      <c r="B109" t="s">
        <v>201</v>
      </c>
      <c r="C109" s="1" t="s">
        <v>54</v>
      </c>
      <c r="D109" s="3">
        <v>2000</v>
      </c>
      <c r="E109" t="s">
        <v>103</v>
      </c>
      <c r="F109" s="1" t="s">
        <v>46</v>
      </c>
    </row>
    <row r="110" spans="1:6" x14ac:dyDescent="0.3">
      <c r="A110" s="14">
        <v>46157</v>
      </c>
      <c r="B110" t="s">
        <v>436</v>
      </c>
      <c r="C110" s="1" t="s">
        <v>29</v>
      </c>
      <c r="D110" s="3">
        <v>6500</v>
      </c>
      <c r="E110" t="s">
        <v>100</v>
      </c>
      <c r="F110" s="1" t="s">
        <v>51</v>
      </c>
    </row>
    <row r="111" spans="1:6" x14ac:dyDescent="0.3">
      <c r="A111" s="14">
        <v>46157</v>
      </c>
      <c r="B111" t="s">
        <v>444</v>
      </c>
      <c r="C111" s="1" t="s">
        <v>24</v>
      </c>
      <c r="D111" s="3">
        <v>1800</v>
      </c>
      <c r="E111" t="s">
        <v>16</v>
      </c>
      <c r="F111" s="38" t="s">
        <v>51</v>
      </c>
    </row>
    <row r="112" spans="1:6" x14ac:dyDescent="0.3">
      <c r="A112" s="14">
        <v>46157</v>
      </c>
      <c r="B112" t="s">
        <v>444</v>
      </c>
      <c r="C112" s="1" t="s">
        <v>445</v>
      </c>
      <c r="D112" s="3">
        <v>2500</v>
      </c>
      <c r="E112" t="s">
        <v>17</v>
      </c>
      <c r="F112" s="1" t="s">
        <v>51</v>
      </c>
    </row>
    <row r="113" spans="1:6" x14ac:dyDescent="0.3">
      <c r="A113" s="14">
        <v>46157</v>
      </c>
      <c r="B113" t="s">
        <v>444</v>
      </c>
      <c r="C113" s="1" t="s">
        <v>199</v>
      </c>
      <c r="D113" s="3">
        <v>400</v>
      </c>
      <c r="E113" t="s">
        <v>17</v>
      </c>
      <c r="F113" s="1" t="s">
        <v>51</v>
      </c>
    </row>
    <row r="114" spans="1:6" x14ac:dyDescent="0.3">
      <c r="A114" s="14">
        <v>46158</v>
      </c>
      <c r="B114" t="s">
        <v>446</v>
      </c>
      <c r="C114" s="1" t="s">
        <v>24</v>
      </c>
      <c r="D114" s="3">
        <v>1800</v>
      </c>
      <c r="E114" t="s">
        <v>17</v>
      </c>
      <c r="F114" s="1" t="s">
        <v>46</v>
      </c>
    </row>
    <row r="115" spans="1:6" x14ac:dyDescent="0.3">
      <c r="A115" s="14">
        <v>46158</v>
      </c>
      <c r="B115" t="s">
        <v>70</v>
      </c>
      <c r="C115" s="1" t="s">
        <v>28</v>
      </c>
      <c r="D115" s="3">
        <v>1800</v>
      </c>
      <c r="E115" t="s">
        <v>100</v>
      </c>
      <c r="F115" s="1" t="s">
        <v>51</v>
      </c>
    </row>
    <row r="116" spans="1:6" x14ac:dyDescent="0.3">
      <c r="A116" s="14">
        <v>46158</v>
      </c>
      <c r="B116" t="s">
        <v>70</v>
      </c>
      <c r="C116" s="1" t="s">
        <v>33</v>
      </c>
      <c r="D116" s="3">
        <v>1000</v>
      </c>
      <c r="E116" t="s">
        <v>100</v>
      </c>
      <c r="F116" s="1" t="s">
        <v>51</v>
      </c>
    </row>
    <row r="117" spans="1:6" x14ac:dyDescent="0.3">
      <c r="A117" s="14">
        <v>46158</v>
      </c>
      <c r="B117" t="s">
        <v>447</v>
      </c>
      <c r="C117" s="1" t="s">
        <v>24</v>
      </c>
      <c r="D117" s="3">
        <v>1800</v>
      </c>
      <c r="E117" t="s">
        <v>103</v>
      </c>
      <c r="F117" s="1" t="s">
        <v>32</v>
      </c>
    </row>
    <row r="118" spans="1:6" x14ac:dyDescent="0.3">
      <c r="A118" s="14">
        <v>46158</v>
      </c>
      <c r="B118" t="s">
        <v>459</v>
      </c>
      <c r="C118" s="1" t="s">
        <v>24</v>
      </c>
      <c r="D118" s="3">
        <v>1800</v>
      </c>
      <c r="E118" t="s">
        <v>103</v>
      </c>
      <c r="F118" s="1"/>
    </row>
    <row r="119" spans="1:6" x14ac:dyDescent="0.3">
      <c r="A119" s="14">
        <v>46158</v>
      </c>
      <c r="B119" t="s">
        <v>448</v>
      </c>
      <c r="C119" s="1" t="s">
        <v>391</v>
      </c>
      <c r="D119" s="3">
        <v>2500</v>
      </c>
      <c r="E119" t="s">
        <v>103</v>
      </c>
      <c r="F119" s="1" t="s">
        <v>46</v>
      </c>
    </row>
    <row r="120" spans="1:6" x14ac:dyDescent="0.3">
      <c r="A120" s="14">
        <v>46160</v>
      </c>
      <c r="B120" t="s">
        <v>465</v>
      </c>
      <c r="C120" s="1" t="s">
        <v>28</v>
      </c>
      <c r="D120" s="3">
        <v>1800</v>
      </c>
      <c r="E120" t="s">
        <v>16</v>
      </c>
      <c r="F120" s="1"/>
    </row>
    <row r="121" spans="1:6" x14ac:dyDescent="0.3">
      <c r="A121" s="14">
        <v>46160</v>
      </c>
      <c r="B121" t="s">
        <v>476</v>
      </c>
      <c r="C121" s="1" t="s">
        <v>237</v>
      </c>
      <c r="D121" s="3">
        <v>12000</v>
      </c>
      <c r="E121" t="s">
        <v>17</v>
      </c>
      <c r="F121" s="1"/>
    </row>
    <row r="122" spans="1:6" x14ac:dyDescent="0.3">
      <c r="A122" s="14">
        <v>46160</v>
      </c>
      <c r="B122" t="s">
        <v>476</v>
      </c>
      <c r="C122" s="1" t="s">
        <v>478</v>
      </c>
      <c r="D122" s="3">
        <v>3000</v>
      </c>
      <c r="E122" t="s">
        <v>17</v>
      </c>
      <c r="F122" s="1"/>
    </row>
    <row r="123" spans="1:6" x14ac:dyDescent="0.3">
      <c r="A123" s="14">
        <v>46160</v>
      </c>
      <c r="B123" t="s">
        <v>466</v>
      </c>
      <c r="C123" s="1" t="s">
        <v>28</v>
      </c>
      <c r="D123" s="3">
        <v>1800</v>
      </c>
      <c r="E123" t="s">
        <v>103</v>
      </c>
      <c r="F123" s="1" t="s">
        <v>64</v>
      </c>
    </row>
    <row r="124" spans="1:6" x14ac:dyDescent="0.3">
      <c r="A124" s="14">
        <v>46160</v>
      </c>
      <c r="B124" t="s">
        <v>466</v>
      </c>
      <c r="C124" s="1" t="s">
        <v>93</v>
      </c>
      <c r="D124" s="3">
        <v>2500</v>
      </c>
      <c r="E124" t="s">
        <v>103</v>
      </c>
      <c r="F124" s="1" t="s">
        <v>51</v>
      </c>
    </row>
    <row r="125" spans="1:6" x14ac:dyDescent="0.3">
      <c r="A125" s="14">
        <v>46160</v>
      </c>
      <c r="B125" t="s">
        <v>117</v>
      </c>
      <c r="C125" s="1" t="s">
        <v>28</v>
      </c>
      <c r="D125" s="3">
        <v>1800</v>
      </c>
      <c r="E125" t="s">
        <v>103</v>
      </c>
      <c r="F125" s="1"/>
    </row>
    <row r="126" spans="1:6" x14ac:dyDescent="0.3">
      <c r="A126" s="14">
        <v>46160</v>
      </c>
      <c r="B126" t="s">
        <v>467</v>
      </c>
      <c r="C126" s="1" t="s">
        <v>28</v>
      </c>
      <c r="D126" s="3">
        <v>1800</v>
      </c>
      <c r="E126" t="s">
        <v>103</v>
      </c>
      <c r="F126" s="1"/>
    </row>
    <row r="127" spans="1:6" x14ac:dyDescent="0.3">
      <c r="A127" s="14">
        <v>46160</v>
      </c>
      <c r="B127" t="s">
        <v>180</v>
      </c>
      <c r="C127" s="1" t="s">
        <v>29</v>
      </c>
      <c r="D127" s="3">
        <v>5850</v>
      </c>
      <c r="E127" t="s">
        <v>103</v>
      </c>
      <c r="F127" s="1"/>
    </row>
    <row r="128" spans="1:6" x14ac:dyDescent="0.3">
      <c r="A128" s="14">
        <v>46161</v>
      </c>
      <c r="B128" t="s">
        <v>484</v>
      </c>
      <c r="C128" s="1" t="s">
        <v>28</v>
      </c>
      <c r="D128" s="3">
        <v>1800</v>
      </c>
      <c r="E128" t="s">
        <v>103</v>
      </c>
      <c r="F128" s="1"/>
    </row>
    <row r="129" spans="1:10" x14ac:dyDescent="0.3">
      <c r="A129" s="14">
        <v>46161</v>
      </c>
      <c r="B129" t="s">
        <v>484</v>
      </c>
      <c r="C129" s="1" t="s">
        <v>488</v>
      </c>
      <c r="D129" s="3">
        <v>1500</v>
      </c>
      <c r="E129" t="s">
        <v>103</v>
      </c>
      <c r="F129" s="1"/>
    </row>
    <row r="130" spans="1:10" x14ac:dyDescent="0.3">
      <c r="A130" s="14">
        <v>46161</v>
      </c>
      <c r="B130" t="s">
        <v>485</v>
      </c>
      <c r="C130" s="1" t="s">
        <v>24</v>
      </c>
      <c r="D130" s="3">
        <v>1800</v>
      </c>
      <c r="E130" t="s">
        <v>100</v>
      </c>
      <c r="F130" s="1"/>
    </row>
    <row r="131" spans="1:10" x14ac:dyDescent="0.3">
      <c r="A131" s="14">
        <v>46161</v>
      </c>
      <c r="B131" t="s">
        <v>485</v>
      </c>
      <c r="C131" s="1" t="s">
        <v>411</v>
      </c>
      <c r="D131" s="3">
        <v>500</v>
      </c>
      <c r="E131" t="s">
        <v>100</v>
      </c>
      <c r="F131" s="1"/>
    </row>
    <row r="132" spans="1:10" x14ac:dyDescent="0.3">
      <c r="A132" s="14">
        <v>46162</v>
      </c>
      <c r="B132" t="s">
        <v>490</v>
      </c>
      <c r="C132" s="1" t="s">
        <v>510</v>
      </c>
      <c r="D132" s="3">
        <v>5850</v>
      </c>
      <c r="E132" t="s">
        <v>103</v>
      </c>
      <c r="F132" s="1" t="s">
        <v>46</v>
      </c>
    </row>
    <row r="133" spans="1:10" x14ac:dyDescent="0.3">
      <c r="A133" s="14">
        <v>46162</v>
      </c>
      <c r="B133" t="s">
        <v>518</v>
      </c>
      <c r="C133" s="1" t="s">
        <v>24</v>
      </c>
      <c r="D133" s="3">
        <v>1800</v>
      </c>
      <c r="E133" t="s">
        <v>16</v>
      </c>
      <c r="F133" s="1" t="s">
        <v>51</v>
      </c>
    </row>
    <row r="134" spans="1:10" x14ac:dyDescent="0.3">
      <c r="A134" s="14">
        <v>46162</v>
      </c>
      <c r="B134" t="s">
        <v>518</v>
      </c>
      <c r="C134" s="1" t="s">
        <v>515</v>
      </c>
      <c r="D134" s="3">
        <v>500</v>
      </c>
      <c r="E134" t="s">
        <v>16</v>
      </c>
      <c r="F134" s="1" t="s">
        <v>51</v>
      </c>
    </row>
    <row r="135" spans="1:10" x14ac:dyDescent="0.3">
      <c r="A135" s="14">
        <v>46162</v>
      </c>
      <c r="B135" t="s">
        <v>92</v>
      </c>
      <c r="C135" s="1" t="s">
        <v>28</v>
      </c>
      <c r="D135" s="3">
        <v>1800</v>
      </c>
      <c r="E135" t="s">
        <v>103</v>
      </c>
      <c r="F135" s="1" t="s">
        <v>46</v>
      </c>
    </row>
    <row r="136" spans="1:10" x14ac:dyDescent="0.3">
      <c r="A136" s="14">
        <v>46162</v>
      </c>
      <c r="B136" t="s">
        <v>92</v>
      </c>
      <c r="C136" s="1" t="s">
        <v>516</v>
      </c>
      <c r="D136" s="3">
        <v>1000</v>
      </c>
      <c r="E136" t="s">
        <v>103</v>
      </c>
      <c r="F136" s="1" t="s">
        <v>46</v>
      </c>
    </row>
    <row r="137" spans="1:10" x14ac:dyDescent="0.3">
      <c r="A137" s="14">
        <v>46164</v>
      </c>
      <c r="B137" t="s">
        <v>92</v>
      </c>
      <c r="C137" s="1" t="s">
        <v>184</v>
      </c>
      <c r="D137" s="3">
        <v>400</v>
      </c>
      <c r="E137" t="s">
        <v>103</v>
      </c>
      <c r="F137" s="1" t="s">
        <v>46</v>
      </c>
    </row>
    <row r="138" spans="1:10" x14ac:dyDescent="0.3">
      <c r="A138" s="14">
        <v>46162</v>
      </c>
      <c r="B138" t="s">
        <v>92</v>
      </c>
      <c r="C138" s="1" t="s">
        <v>517</v>
      </c>
      <c r="D138" s="3">
        <v>800</v>
      </c>
      <c r="E138" t="s">
        <v>103</v>
      </c>
      <c r="F138" s="1" t="s">
        <v>46</v>
      </c>
      <c r="J138" t="s">
        <v>283</v>
      </c>
    </row>
    <row r="139" spans="1:10" x14ac:dyDescent="0.3">
      <c r="A139" s="14">
        <v>46162</v>
      </c>
      <c r="B139" t="s">
        <v>491</v>
      </c>
      <c r="C139" s="1" t="s">
        <v>28</v>
      </c>
      <c r="D139" s="3">
        <v>1800</v>
      </c>
      <c r="E139" t="s">
        <v>103</v>
      </c>
      <c r="F139" s="1" t="s">
        <v>46</v>
      </c>
    </row>
    <row r="140" spans="1:10" x14ac:dyDescent="0.3">
      <c r="A140" s="14">
        <v>46162</v>
      </c>
      <c r="B140" t="s">
        <v>67</v>
      </c>
      <c r="C140" s="1" t="s">
        <v>28</v>
      </c>
      <c r="D140" s="3">
        <v>1800</v>
      </c>
      <c r="E140" t="s">
        <v>76</v>
      </c>
      <c r="F140" s="1" t="s">
        <v>46</v>
      </c>
    </row>
    <row r="141" spans="1:10" x14ac:dyDescent="0.3">
      <c r="A141" s="14">
        <v>46162</v>
      </c>
      <c r="B141" t="s">
        <v>281</v>
      </c>
      <c r="C141" s="1" t="s">
        <v>45</v>
      </c>
      <c r="D141" s="3">
        <v>0</v>
      </c>
      <c r="E141" t="s">
        <v>102</v>
      </c>
      <c r="F141" s="1"/>
    </row>
    <row r="142" spans="1:10" x14ac:dyDescent="0.3">
      <c r="A142" s="14">
        <v>46162</v>
      </c>
      <c r="B142" t="s">
        <v>492</v>
      </c>
      <c r="C142" s="1" t="s">
        <v>28</v>
      </c>
      <c r="D142" s="3">
        <v>0</v>
      </c>
      <c r="E142" t="s">
        <v>102</v>
      </c>
      <c r="F142" s="1"/>
    </row>
    <row r="143" spans="1:10" x14ac:dyDescent="0.3">
      <c r="A143" s="14">
        <v>46162</v>
      </c>
      <c r="B143" t="s">
        <v>492</v>
      </c>
      <c r="C143" s="1" t="s">
        <v>519</v>
      </c>
      <c r="D143" s="3">
        <v>2500</v>
      </c>
      <c r="E143" t="s">
        <v>16</v>
      </c>
      <c r="F143" s="1" t="s">
        <v>51</v>
      </c>
    </row>
    <row r="144" spans="1:10" x14ac:dyDescent="0.3">
      <c r="A144" s="14">
        <v>46162</v>
      </c>
      <c r="B144" t="s">
        <v>181</v>
      </c>
      <c r="C144" s="1" t="s">
        <v>50</v>
      </c>
      <c r="D144" s="3">
        <v>3000</v>
      </c>
      <c r="E144" t="s">
        <v>103</v>
      </c>
      <c r="F144" s="1"/>
    </row>
    <row r="145" spans="1:11" x14ac:dyDescent="0.3">
      <c r="A145" s="14">
        <v>46162</v>
      </c>
      <c r="B145" t="s">
        <v>493</v>
      </c>
      <c r="C145" s="1" t="s">
        <v>24</v>
      </c>
      <c r="D145" s="3">
        <v>1800</v>
      </c>
      <c r="E145" t="s">
        <v>16</v>
      </c>
      <c r="F145" s="1" t="s">
        <v>46</v>
      </c>
    </row>
    <row r="146" spans="1:11" x14ac:dyDescent="0.3">
      <c r="A146" s="14">
        <v>46162</v>
      </c>
      <c r="B146" t="s">
        <v>493</v>
      </c>
      <c r="C146" s="1" t="s">
        <v>521</v>
      </c>
      <c r="D146" s="3">
        <v>2500</v>
      </c>
      <c r="E146" t="s">
        <v>16</v>
      </c>
      <c r="F146" s="1" t="s">
        <v>46</v>
      </c>
    </row>
    <row r="147" spans="1:11" x14ac:dyDescent="0.3">
      <c r="A147" s="14">
        <v>46162</v>
      </c>
      <c r="B147" t="s">
        <v>494</v>
      </c>
      <c r="C147" s="1" t="s">
        <v>28</v>
      </c>
      <c r="D147" s="3">
        <v>1800</v>
      </c>
      <c r="E147" t="s">
        <v>103</v>
      </c>
      <c r="F147" s="1" t="s">
        <v>51</v>
      </c>
    </row>
    <row r="148" spans="1:11" x14ac:dyDescent="0.3">
      <c r="A148" s="14">
        <v>46162</v>
      </c>
      <c r="B148" t="s">
        <v>495</v>
      </c>
      <c r="C148" s="1" t="s">
        <v>28</v>
      </c>
      <c r="D148" s="3">
        <v>1800</v>
      </c>
      <c r="E148" t="s">
        <v>16</v>
      </c>
      <c r="F148" s="1" t="s">
        <v>51</v>
      </c>
    </row>
    <row r="149" spans="1:11" x14ac:dyDescent="0.3">
      <c r="A149" s="14">
        <v>46162</v>
      </c>
      <c r="B149" t="s">
        <v>496</v>
      </c>
      <c r="C149" s="1" t="s">
        <v>28</v>
      </c>
      <c r="D149" s="3">
        <v>1800</v>
      </c>
      <c r="E149" t="s">
        <v>103</v>
      </c>
      <c r="F149" s="1" t="s">
        <v>51</v>
      </c>
      <c r="K149" t="s">
        <v>523</v>
      </c>
    </row>
    <row r="150" spans="1:11" x14ac:dyDescent="0.3">
      <c r="A150" s="14">
        <v>46162</v>
      </c>
      <c r="B150" t="s">
        <v>497</v>
      </c>
      <c r="C150" s="1" t="s">
        <v>24</v>
      </c>
      <c r="D150" s="3">
        <v>900</v>
      </c>
      <c r="E150" t="s">
        <v>16</v>
      </c>
      <c r="F150" s="1" t="s">
        <v>51</v>
      </c>
      <c r="K150" t="s">
        <v>172</v>
      </c>
    </row>
    <row r="151" spans="1:11" x14ac:dyDescent="0.3">
      <c r="A151" s="14">
        <v>46162</v>
      </c>
      <c r="B151" t="s">
        <v>498</v>
      </c>
      <c r="C151" s="1" t="s">
        <v>241</v>
      </c>
      <c r="D151" s="3">
        <v>2500</v>
      </c>
      <c r="E151" t="s">
        <v>76</v>
      </c>
      <c r="F151" s="1" t="s">
        <v>51</v>
      </c>
    </row>
    <row r="152" spans="1:11" x14ac:dyDescent="0.3">
      <c r="A152" s="14">
        <v>46162</v>
      </c>
      <c r="B152" t="s">
        <v>499</v>
      </c>
      <c r="C152" s="1" t="s">
        <v>28</v>
      </c>
      <c r="D152" s="3">
        <v>0</v>
      </c>
      <c r="E152" t="s">
        <v>102</v>
      </c>
      <c r="F152" s="1"/>
    </row>
    <row r="153" spans="1:11" x14ac:dyDescent="0.3">
      <c r="A153" s="14">
        <v>46162</v>
      </c>
      <c r="B153" t="s">
        <v>500</v>
      </c>
      <c r="C153" s="1" t="s">
        <v>133</v>
      </c>
      <c r="D153" s="3">
        <v>5525</v>
      </c>
      <c r="E153" t="s">
        <v>103</v>
      </c>
      <c r="F153" s="1" t="s">
        <v>51</v>
      </c>
    </row>
    <row r="154" spans="1:11" x14ac:dyDescent="0.3">
      <c r="A154" s="14">
        <v>46164</v>
      </c>
      <c r="B154" t="s">
        <v>554</v>
      </c>
      <c r="C154" s="1" t="s">
        <v>29</v>
      </c>
      <c r="D154" s="3">
        <v>5850</v>
      </c>
      <c r="E154" t="s">
        <v>103</v>
      </c>
      <c r="F154" s="1" t="s">
        <v>46</v>
      </c>
    </row>
    <row r="155" spans="1:11" x14ac:dyDescent="0.3">
      <c r="A155" s="14">
        <v>46164</v>
      </c>
      <c r="B155" t="s">
        <v>554</v>
      </c>
      <c r="C155" s="1" t="s">
        <v>519</v>
      </c>
      <c r="D155" s="3">
        <v>400</v>
      </c>
      <c r="E155" t="s">
        <v>103</v>
      </c>
      <c r="F155" s="1" t="s">
        <v>46</v>
      </c>
    </row>
    <row r="156" spans="1:11" x14ac:dyDescent="0.3">
      <c r="A156" s="14">
        <v>46164</v>
      </c>
      <c r="B156" t="s">
        <v>534</v>
      </c>
      <c r="C156" s="1" t="s">
        <v>28</v>
      </c>
      <c r="D156" s="3">
        <v>1800</v>
      </c>
      <c r="E156" t="s">
        <v>17</v>
      </c>
      <c r="F156" s="1" t="s">
        <v>46</v>
      </c>
    </row>
    <row r="157" spans="1:11" x14ac:dyDescent="0.3">
      <c r="A157" s="14">
        <v>46164</v>
      </c>
      <c r="B157" t="s">
        <v>534</v>
      </c>
      <c r="C157" s="1" t="s">
        <v>519</v>
      </c>
      <c r="D157" s="3">
        <v>1300</v>
      </c>
      <c r="E157" t="s">
        <v>17</v>
      </c>
      <c r="F157" s="1" t="s">
        <v>46</v>
      </c>
    </row>
    <row r="158" spans="1:11" x14ac:dyDescent="0.3">
      <c r="A158" s="14">
        <v>46164</v>
      </c>
      <c r="B158" t="s">
        <v>535</v>
      </c>
      <c r="C158" s="1" t="s">
        <v>24</v>
      </c>
      <c r="D158" s="3">
        <v>2500</v>
      </c>
      <c r="E158" t="s">
        <v>103</v>
      </c>
      <c r="F158" s="1" t="s">
        <v>46</v>
      </c>
    </row>
    <row r="159" spans="1:11" x14ac:dyDescent="0.3">
      <c r="A159" s="14">
        <v>46164</v>
      </c>
      <c r="B159" t="s">
        <v>535</v>
      </c>
      <c r="C159" s="1" t="s">
        <v>282</v>
      </c>
      <c r="D159" s="3">
        <v>500</v>
      </c>
      <c r="E159" t="s">
        <v>103</v>
      </c>
      <c r="F159" s="1" t="s">
        <v>46</v>
      </c>
    </row>
    <row r="160" spans="1:11" x14ac:dyDescent="0.3">
      <c r="A160" s="14">
        <v>46164</v>
      </c>
      <c r="B160" t="s">
        <v>179</v>
      </c>
      <c r="C160" s="1" t="s">
        <v>28</v>
      </c>
      <c r="D160" s="3">
        <v>1800</v>
      </c>
      <c r="E160" t="s">
        <v>103</v>
      </c>
      <c r="F160" s="1" t="s">
        <v>46</v>
      </c>
    </row>
    <row r="161" spans="1:6" x14ac:dyDescent="0.3">
      <c r="A161" s="14">
        <v>46164</v>
      </c>
      <c r="B161" t="s">
        <v>536</v>
      </c>
      <c r="C161" s="1" t="s">
        <v>28</v>
      </c>
      <c r="D161" s="3">
        <v>1800</v>
      </c>
      <c r="E161" t="s">
        <v>76</v>
      </c>
      <c r="F161" s="1" t="s">
        <v>46</v>
      </c>
    </row>
    <row r="162" spans="1:6" x14ac:dyDescent="0.3">
      <c r="A162" s="14">
        <v>46164</v>
      </c>
      <c r="B162" t="s">
        <v>536</v>
      </c>
      <c r="C162" s="1" t="s">
        <v>244</v>
      </c>
      <c r="D162" s="3">
        <v>2500</v>
      </c>
      <c r="E162" t="s">
        <v>76</v>
      </c>
      <c r="F162" s="1" t="s">
        <v>46</v>
      </c>
    </row>
    <row r="163" spans="1:6" x14ac:dyDescent="0.3">
      <c r="A163" s="14">
        <v>46164</v>
      </c>
      <c r="B163" t="s">
        <v>112</v>
      </c>
      <c r="C163" s="1" t="s">
        <v>28</v>
      </c>
      <c r="D163" s="3">
        <v>1800</v>
      </c>
      <c r="E163" t="s">
        <v>100</v>
      </c>
      <c r="F163" s="1" t="s">
        <v>46</v>
      </c>
    </row>
    <row r="164" spans="1:6" x14ac:dyDescent="0.3">
      <c r="A164" s="14">
        <v>46164</v>
      </c>
      <c r="B164" t="s">
        <v>112</v>
      </c>
      <c r="C164" s="1" t="s">
        <v>557</v>
      </c>
      <c r="D164" s="3">
        <v>500</v>
      </c>
      <c r="E164" t="s">
        <v>100</v>
      </c>
      <c r="F164" s="1" t="s">
        <v>46</v>
      </c>
    </row>
    <row r="165" spans="1:6" x14ac:dyDescent="0.3">
      <c r="A165" s="14">
        <v>46164</v>
      </c>
      <c r="B165" t="s">
        <v>537</v>
      </c>
      <c r="C165" s="1" t="s">
        <v>510</v>
      </c>
      <c r="D165" s="3">
        <v>6500</v>
      </c>
      <c r="E165" t="s">
        <v>103</v>
      </c>
      <c r="F165" s="1" t="s">
        <v>51</v>
      </c>
    </row>
    <row r="166" spans="1:6" x14ac:dyDescent="0.3">
      <c r="A166" s="14">
        <v>46164</v>
      </c>
      <c r="B166" t="s">
        <v>537</v>
      </c>
      <c r="C166" s="1" t="s">
        <v>558</v>
      </c>
      <c r="D166" s="3">
        <v>1000</v>
      </c>
      <c r="E166" t="s">
        <v>103</v>
      </c>
      <c r="F166" s="1" t="s">
        <v>51</v>
      </c>
    </row>
    <row r="167" spans="1:6" x14ac:dyDescent="0.3">
      <c r="A167" s="14">
        <v>46164</v>
      </c>
      <c r="B167" t="s">
        <v>247</v>
      </c>
      <c r="C167" s="1" t="s">
        <v>45</v>
      </c>
      <c r="D167" s="3">
        <v>0</v>
      </c>
      <c r="E167" t="s">
        <v>102</v>
      </c>
      <c r="F167" s="1"/>
    </row>
    <row r="168" spans="1:6" x14ac:dyDescent="0.3">
      <c r="A168" s="14">
        <v>46164</v>
      </c>
      <c r="B168" t="s">
        <v>247</v>
      </c>
      <c r="C168" s="1" t="s">
        <v>33</v>
      </c>
      <c r="D168" s="3">
        <v>1000</v>
      </c>
      <c r="E168" t="s">
        <v>16</v>
      </c>
      <c r="F168" s="1" t="s">
        <v>51</v>
      </c>
    </row>
    <row r="169" spans="1:6" x14ac:dyDescent="0.3">
      <c r="A169" s="14">
        <v>46164</v>
      </c>
      <c r="B169" t="s">
        <v>247</v>
      </c>
      <c r="C169" s="1" t="s">
        <v>558</v>
      </c>
      <c r="D169" s="3">
        <v>1000</v>
      </c>
      <c r="E169" t="s">
        <v>103</v>
      </c>
      <c r="F169" s="1" t="s">
        <v>51</v>
      </c>
    </row>
    <row r="170" spans="1:6" ht="19.2" x14ac:dyDescent="0.3">
      <c r="A170" s="14">
        <v>46164</v>
      </c>
      <c r="B170" s="42" t="s">
        <v>560</v>
      </c>
      <c r="C170" s="1" t="s">
        <v>59</v>
      </c>
      <c r="D170" s="3">
        <v>2500</v>
      </c>
      <c r="E170" t="s">
        <v>100</v>
      </c>
      <c r="F170" s="1" t="s">
        <v>51</v>
      </c>
    </row>
    <row r="171" spans="1:6" x14ac:dyDescent="0.3">
      <c r="A171" s="14">
        <v>46164</v>
      </c>
      <c r="B171" t="s">
        <v>287</v>
      </c>
      <c r="C171" s="1" t="s">
        <v>45</v>
      </c>
      <c r="D171" s="3">
        <v>0</v>
      </c>
      <c r="E171" t="s">
        <v>102</v>
      </c>
      <c r="F171" s="1"/>
    </row>
    <row r="172" spans="1:6" x14ac:dyDescent="0.3">
      <c r="A172" s="14">
        <v>46164</v>
      </c>
      <c r="B172" t="s">
        <v>296</v>
      </c>
      <c r="C172" s="1" t="s">
        <v>45</v>
      </c>
      <c r="D172" s="3">
        <v>0</v>
      </c>
      <c r="E172" t="s">
        <v>102</v>
      </c>
      <c r="F172" s="1"/>
    </row>
    <row r="173" spans="1:6" x14ac:dyDescent="0.3">
      <c r="A173" s="14">
        <v>46164</v>
      </c>
      <c r="B173" t="s">
        <v>559</v>
      </c>
      <c r="C173" s="1" t="s">
        <v>29</v>
      </c>
      <c r="D173" s="3">
        <v>6500</v>
      </c>
      <c r="E173" t="s">
        <v>103</v>
      </c>
      <c r="F173" s="1" t="s">
        <v>46</v>
      </c>
    </row>
    <row r="174" spans="1:6" x14ac:dyDescent="0.3">
      <c r="A174" s="14">
        <v>46164</v>
      </c>
      <c r="B174" t="s">
        <v>538</v>
      </c>
      <c r="C174" s="1" t="s">
        <v>134</v>
      </c>
      <c r="D174" s="3">
        <v>0</v>
      </c>
      <c r="F174" s="1"/>
    </row>
    <row r="175" spans="1:6" x14ac:dyDescent="0.3">
      <c r="A175" s="14">
        <v>46164</v>
      </c>
      <c r="B175" t="s">
        <v>539</v>
      </c>
      <c r="C175" s="1" t="s">
        <v>24</v>
      </c>
      <c r="D175" s="3">
        <v>1800</v>
      </c>
      <c r="E175" t="s">
        <v>103</v>
      </c>
      <c r="F175" s="1" t="s">
        <v>51</v>
      </c>
    </row>
    <row r="176" spans="1:6" x14ac:dyDescent="0.3">
      <c r="A176" s="14">
        <v>46164</v>
      </c>
      <c r="B176" t="s">
        <v>540</v>
      </c>
      <c r="C176" s="1" t="s">
        <v>24</v>
      </c>
      <c r="D176" s="3">
        <v>0</v>
      </c>
      <c r="E176" t="s">
        <v>102</v>
      </c>
      <c r="F176" s="1"/>
    </row>
    <row r="177" spans="1:6" x14ac:dyDescent="0.3">
      <c r="A177" s="14">
        <v>46165</v>
      </c>
      <c r="B177" s="15" t="s">
        <v>564</v>
      </c>
      <c r="C177" s="1" t="s">
        <v>24</v>
      </c>
      <c r="D177" s="3">
        <v>1000</v>
      </c>
      <c r="E177" t="s">
        <v>16</v>
      </c>
      <c r="F177" s="1" t="s">
        <v>51</v>
      </c>
    </row>
    <row r="178" spans="1:6" x14ac:dyDescent="0.3">
      <c r="A178" s="14">
        <v>46165</v>
      </c>
      <c r="B178" s="15" t="s">
        <v>564</v>
      </c>
      <c r="C178" s="1" t="s">
        <v>521</v>
      </c>
      <c r="D178" s="3">
        <v>2500</v>
      </c>
      <c r="E178" t="s">
        <v>103</v>
      </c>
      <c r="F178" s="1" t="s">
        <v>51</v>
      </c>
    </row>
    <row r="179" spans="1:6" x14ac:dyDescent="0.3">
      <c r="A179" s="14">
        <v>46165</v>
      </c>
      <c r="B179" s="15" t="s">
        <v>565</v>
      </c>
      <c r="C179" s="1" t="s">
        <v>28</v>
      </c>
      <c r="D179" s="3">
        <v>6000</v>
      </c>
      <c r="E179" t="s">
        <v>17</v>
      </c>
      <c r="F179" s="1" t="s">
        <v>51</v>
      </c>
    </row>
    <row r="180" spans="1:6" x14ac:dyDescent="0.3">
      <c r="A180" s="14">
        <v>46165</v>
      </c>
      <c r="B180" s="15" t="s">
        <v>569</v>
      </c>
      <c r="C180" s="1" t="s">
        <v>29</v>
      </c>
      <c r="D180" s="3">
        <v>5850</v>
      </c>
      <c r="E180" t="s">
        <v>76</v>
      </c>
      <c r="F180" s="1" t="s">
        <v>51</v>
      </c>
    </row>
    <row r="181" spans="1:6" x14ac:dyDescent="0.3">
      <c r="A181" s="14">
        <v>46167</v>
      </c>
      <c r="B181" t="s">
        <v>573</v>
      </c>
      <c r="C181" s="1" t="s">
        <v>24</v>
      </c>
      <c r="D181" s="3">
        <v>1800</v>
      </c>
      <c r="E181" t="s">
        <v>103</v>
      </c>
      <c r="F181" s="1" t="s">
        <v>46</v>
      </c>
    </row>
    <row r="182" spans="1:6" x14ac:dyDescent="0.3">
      <c r="A182" s="14">
        <v>46167</v>
      </c>
      <c r="B182" t="s">
        <v>574</v>
      </c>
      <c r="C182" s="1" t="s">
        <v>24</v>
      </c>
      <c r="D182" s="3">
        <v>1800</v>
      </c>
      <c r="E182" t="s">
        <v>103</v>
      </c>
      <c r="F182" s="1" t="s">
        <v>46</v>
      </c>
    </row>
    <row r="183" spans="1:6" x14ac:dyDescent="0.3">
      <c r="A183" s="14">
        <v>46167</v>
      </c>
      <c r="B183" t="s">
        <v>574</v>
      </c>
      <c r="C183" s="1" t="s">
        <v>579</v>
      </c>
      <c r="D183" s="3">
        <v>2500</v>
      </c>
      <c r="E183" t="s">
        <v>103</v>
      </c>
      <c r="F183" s="1" t="s">
        <v>46</v>
      </c>
    </row>
    <row r="184" spans="1:6" x14ac:dyDescent="0.3">
      <c r="A184" s="14">
        <v>46167</v>
      </c>
      <c r="B184" t="s">
        <v>173</v>
      </c>
      <c r="C184" s="1" t="s">
        <v>28</v>
      </c>
      <c r="D184" s="3">
        <v>0</v>
      </c>
      <c r="E184" t="s">
        <v>102</v>
      </c>
      <c r="F184" s="1"/>
    </row>
    <row r="185" spans="1:6" x14ac:dyDescent="0.3">
      <c r="A185" s="14">
        <v>46167</v>
      </c>
      <c r="B185" t="s">
        <v>575</v>
      </c>
      <c r="C185" s="1" t="s">
        <v>28</v>
      </c>
      <c r="D185" s="3">
        <v>1800</v>
      </c>
      <c r="E185" t="s">
        <v>17</v>
      </c>
      <c r="F185" s="1" t="s">
        <v>46</v>
      </c>
    </row>
    <row r="186" spans="1:6" x14ac:dyDescent="0.3">
      <c r="A186" s="14">
        <v>46167</v>
      </c>
      <c r="B186" t="s">
        <v>575</v>
      </c>
      <c r="C186" s="1" t="s">
        <v>33</v>
      </c>
      <c r="D186" s="3">
        <v>1000</v>
      </c>
      <c r="E186" t="s">
        <v>16</v>
      </c>
      <c r="F186" s="1" t="s">
        <v>46</v>
      </c>
    </row>
    <row r="187" spans="1:6" x14ac:dyDescent="0.3">
      <c r="A187" s="14">
        <v>46167</v>
      </c>
      <c r="B187" t="s">
        <v>576</v>
      </c>
      <c r="C187" s="1" t="s">
        <v>24</v>
      </c>
      <c r="D187" s="3">
        <v>1800</v>
      </c>
      <c r="E187" t="s">
        <v>100</v>
      </c>
      <c r="F187" s="1" t="s">
        <v>51</v>
      </c>
    </row>
    <row r="188" spans="1:6" x14ac:dyDescent="0.3">
      <c r="A188" s="14">
        <v>46167</v>
      </c>
      <c r="B188" t="s">
        <v>577</v>
      </c>
      <c r="C188" s="1" t="s">
        <v>588</v>
      </c>
      <c r="D188" s="3">
        <v>9450</v>
      </c>
      <c r="E188" t="s">
        <v>103</v>
      </c>
      <c r="F188" s="1" t="s">
        <v>51</v>
      </c>
    </row>
    <row r="189" spans="1:6" x14ac:dyDescent="0.3">
      <c r="A189" s="14">
        <v>46167</v>
      </c>
      <c r="B189" t="s">
        <v>386</v>
      </c>
      <c r="C189" s="1" t="s">
        <v>45</v>
      </c>
      <c r="D189" s="3" t="s">
        <v>590</v>
      </c>
      <c r="E189" t="s">
        <v>102</v>
      </c>
      <c r="F189" s="1"/>
    </row>
    <row r="190" spans="1:6" x14ac:dyDescent="0.3">
      <c r="A190" s="14">
        <v>46167</v>
      </c>
      <c r="B190" t="s">
        <v>589</v>
      </c>
      <c r="C190" s="1" t="s">
        <v>29</v>
      </c>
      <c r="D190" s="3">
        <v>5850</v>
      </c>
      <c r="E190" t="s">
        <v>103</v>
      </c>
      <c r="F190" s="1" t="s">
        <v>46</v>
      </c>
    </row>
    <row r="191" spans="1:6" x14ac:dyDescent="0.3">
      <c r="A191" s="14">
        <v>46167</v>
      </c>
      <c r="B191" t="s">
        <v>180</v>
      </c>
      <c r="C191" s="1" t="s">
        <v>45</v>
      </c>
      <c r="D191" s="3">
        <v>0</v>
      </c>
      <c r="E191" t="s">
        <v>102</v>
      </c>
      <c r="F191" s="1"/>
    </row>
    <row r="192" spans="1:6" x14ac:dyDescent="0.3">
      <c r="A192" s="14">
        <v>46167</v>
      </c>
      <c r="B192" t="s">
        <v>578</v>
      </c>
      <c r="C192" s="1" t="s">
        <v>591</v>
      </c>
      <c r="D192" s="3">
        <v>17550</v>
      </c>
      <c r="E192" t="s">
        <v>103</v>
      </c>
      <c r="F192" s="1" t="s">
        <v>46</v>
      </c>
    </row>
    <row r="193" spans="1:10" x14ac:dyDescent="0.3">
      <c r="A193" s="14">
        <v>46167</v>
      </c>
      <c r="B193" t="s">
        <v>578</v>
      </c>
      <c r="C193" s="1" t="s">
        <v>97</v>
      </c>
      <c r="D193" s="3">
        <v>2500</v>
      </c>
      <c r="E193" t="s">
        <v>103</v>
      </c>
      <c r="F193" s="1" t="s">
        <v>46</v>
      </c>
    </row>
    <row r="194" spans="1:10" x14ac:dyDescent="0.3">
      <c r="A194" s="14">
        <v>46168</v>
      </c>
      <c r="B194" t="s">
        <v>597</v>
      </c>
      <c r="C194" s="1" t="s">
        <v>598</v>
      </c>
      <c r="D194" s="3">
        <v>500</v>
      </c>
      <c r="E194" t="s">
        <v>76</v>
      </c>
      <c r="F194" s="1" t="s">
        <v>51</v>
      </c>
    </row>
    <row r="195" spans="1:10" x14ac:dyDescent="0.3">
      <c r="A195" s="14">
        <v>46168</v>
      </c>
      <c r="B195" t="s">
        <v>599</v>
      </c>
      <c r="C195" s="1" t="s">
        <v>33</v>
      </c>
      <c r="D195" s="3">
        <v>1000</v>
      </c>
      <c r="E195" t="s">
        <v>17</v>
      </c>
      <c r="F195" s="1" t="s">
        <v>51</v>
      </c>
    </row>
    <row r="196" spans="1:10" x14ac:dyDescent="0.3">
      <c r="A196" s="14">
        <v>46168</v>
      </c>
      <c r="B196" t="s">
        <v>601</v>
      </c>
      <c r="C196" s="1" t="s">
        <v>28</v>
      </c>
      <c r="D196" s="3">
        <v>1800</v>
      </c>
      <c r="E196" t="s">
        <v>103</v>
      </c>
      <c r="F196" s="1" t="s">
        <v>46</v>
      </c>
    </row>
    <row r="197" spans="1:10" x14ac:dyDescent="0.3">
      <c r="A197" s="14">
        <v>46168</v>
      </c>
      <c r="B197" t="s">
        <v>601</v>
      </c>
      <c r="C197" s="1" t="s">
        <v>603</v>
      </c>
      <c r="D197" s="3">
        <v>1500</v>
      </c>
      <c r="E197" t="s">
        <v>103</v>
      </c>
      <c r="F197" s="1" t="s">
        <v>46</v>
      </c>
    </row>
    <row r="198" spans="1:10" x14ac:dyDescent="0.3">
      <c r="A198" s="14">
        <v>46168</v>
      </c>
      <c r="B198" t="s">
        <v>577</v>
      </c>
      <c r="C198" s="1" t="s">
        <v>604</v>
      </c>
      <c r="D198" s="3">
        <v>1360</v>
      </c>
      <c r="E198" t="s">
        <v>103</v>
      </c>
      <c r="F198" s="1" t="s">
        <v>46</v>
      </c>
    </row>
    <row r="199" spans="1:10" x14ac:dyDescent="0.3">
      <c r="A199" s="14">
        <v>46168</v>
      </c>
      <c r="B199" t="s">
        <v>601</v>
      </c>
      <c r="C199" s="1" t="s">
        <v>605</v>
      </c>
      <c r="D199" s="3">
        <v>805</v>
      </c>
      <c r="E199" t="s">
        <v>103</v>
      </c>
      <c r="F199" s="1" t="s">
        <v>46</v>
      </c>
    </row>
    <row r="200" spans="1:10" x14ac:dyDescent="0.3">
      <c r="A200" s="14">
        <v>46168</v>
      </c>
      <c r="B200" t="s">
        <v>602</v>
      </c>
      <c r="C200" s="1" t="s">
        <v>29</v>
      </c>
      <c r="D200" s="3">
        <v>6500</v>
      </c>
      <c r="E200" t="s">
        <v>103</v>
      </c>
      <c r="F200" s="1" t="s">
        <v>46</v>
      </c>
    </row>
    <row r="201" spans="1:10" x14ac:dyDescent="0.3">
      <c r="A201" s="14">
        <v>46169</v>
      </c>
      <c r="B201" t="s">
        <v>609</v>
      </c>
      <c r="C201" s="1" t="s">
        <v>28</v>
      </c>
      <c r="D201" s="3">
        <v>1800</v>
      </c>
      <c r="E201" t="s">
        <v>16</v>
      </c>
      <c r="F201" s="1" t="s">
        <v>51</v>
      </c>
      <c r="J201" t="s">
        <v>618</v>
      </c>
    </row>
    <row r="202" spans="1:10" x14ac:dyDescent="0.3">
      <c r="A202" s="14">
        <v>46169</v>
      </c>
      <c r="B202" t="s">
        <v>560</v>
      </c>
      <c r="C202" s="1" t="s">
        <v>183</v>
      </c>
      <c r="D202" s="3">
        <v>21600</v>
      </c>
      <c r="E202" t="s">
        <v>103</v>
      </c>
      <c r="F202" s="1" t="s">
        <v>46</v>
      </c>
    </row>
    <row r="203" spans="1:10" x14ac:dyDescent="0.3">
      <c r="A203" s="14">
        <v>46169</v>
      </c>
      <c r="B203" t="s">
        <v>610</v>
      </c>
      <c r="C203" s="1" t="s">
        <v>28</v>
      </c>
      <c r="D203" s="3">
        <v>900</v>
      </c>
      <c r="E203" t="s">
        <v>100</v>
      </c>
      <c r="F203" s="1" t="s">
        <v>46</v>
      </c>
    </row>
    <row r="204" spans="1:10" x14ac:dyDescent="0.3">
      <c r="A204" s="14">
        <v>46169</v>
      </c>
      <c r="B204" t="s">
        <v>610</v>
      </c>
      <c r="C204" s="1" t="s">
        <v>97</v>
      </c>
      <c r="D204" s="3">
        <v>2500</v>
      </c>
      <c r="E204" t="s">
        <v>100</v>
      </c>
      <c r="F204" s="1" t="s">
        <v>46</v>
      </c>
    </row>
    <row r="205" spans="1:10" x14ac:dyDescent="0.3">
      <c r="A205" s="14">
        <v>46169</v>
      </c>
      <c r="B205" t="s">
        <v>611</v>
      </c>
      <c r="C205" s="1" t="s">
        <v>35</v>
      </c>
      <c r="D205" s="3">
        <v>6500</v>
      </c>
      <c r="E205" t="s">
        <v>76</v>
      </c>
      <c r="F205" s="1" t="s">
        <v>51</v>
      </c>
    </row>
    <row r="206" spans="1:10" x14ac:dyDescent="0.3">
      <c r="A206" s="14">
        <v>46169</v>
      </c>
      <c r="B206" t="s">
        <v>40</v>
      </c>
      <c r="C206" s="1" t="s">
        <v>28</v>
      </c>
      <c r="D206" s="3">
        <v>1800</v>
      </c>
      <c r="E206" t="s">
        <v>16</v>
      </c>
      <c r="F206" s="1" t="s">
        <v>51</v>
      </c>
    </row>
    <row r="207" spans="1:10" x14ac:dyDescent="0.3">
      <c r="A207" s="14">
        <v>46169</v>
      </c>
      <c r="B207" t="s">
        <v>200</v>
      </c>
      <c r="C207" s="1" t="s">
        <v>28</v>
      </c>
      <c r="D207" s="3">
        <v>3000</v>
      </c>
      <c r="E207" t="s">
        <v>103</v>
      </c>
      <c r="F207" s="1" t="s">
        <v>51</v>
      </c>
    </row>
    <row r="208" spans="1:10" x14ac:dyDescent="0.3">
      <c r="A208" s="14">
        <v>46169</v>
      </c>
      <c r="B208" t="s">
        <v>612</v>
      </c>
      <c r="C208" s="1" t="s">
        <v>377</v>
      </c>
      <c r="D208" s="3">
        <v>2500</v>
      </c>
      <c r="E208" t="s">
        <v>103</v>
      </c>
      <c r="F208" s="1" t="s">
        <v>51</v>
      </c>
    </row>
    <row r="209" spans="1:11" x14ac:dyDescent="0.3">
      <c r="A209" s="14">
        <v>46171</v>
      </c>
      <c r="B209" t="s">
        <v>368</v>
      </c>
      <c r="C209" s="1" t="s">
        <v>45</v>
      </c>
      <c r="D209" s="3">
        <v>0</v>
      </c>
      <c r="E209" t="s">
        <v>102</v>
      </c>
      <c r="F209" s="1"/>
    </row>
    <row r="210" spans="1:11" x14ac:dyDescent="0.3">
      <c r="A210" s="14">
        <v>46171</v>
      </c>
      <c r="B210" t="s">
        <v>368</v>
      </c>
      <c r="C210" s="1" t="s">
        <v>652</v>
      </c>
      <c r="D210" s="3">
        <v>2000</v>
      </c>
      <c r="E210" t="s">
        <v>100</v>
      </c>
      <c r="F210" s="1" t="s">
        <v>51</v>
      </c>
    </row>
    <row r="211" spans="1:11" x14ac:dyDescent="0.3">
      <c r="A211" s="14">
        <v>46171</v>
      </c>
      <c r="B211" t="s">
        <v>629</v>
      </c>
      <c r="C211" s="1" t="s">
        <v>24</v>
      </c>
      <c r="D211" s="3">
        <v>1800</v>
      </c>
      <c r="E211" t="s">
        <v>76</v>
      </c>
      <c r="F211" s="1" t="s">
        <v>32</v>
      </c>
    </row>
    <row r="212" spans="1:11" x14ac:dyDescent="0.3">
      <c r="A212" s="14">
        <v>46171</v>
      </c>
      <c r="B212" t="s">
        <v>629</v>
      </c>
      <c r="C212" s="1" t="s">
        <v>653</v>
      </c>
      <c r="D212" s="3">
        <v>500</v>
      </c>
      <c r="E212" t="s">
        <v>76</v>
      </c>
      <c r="F212" s="1" t="s">
        <v>32</v>
      </c>
    </row>
    <row r="213" spans="1:11" x14ac:dyDescent="0.3">
      <c r="A213" s="14">
        <v>46171</v>
      </c>
      <c r="B213" t="s">
        <v>630</v>
      </c>
      <c r="C213" s="1" t="s">
        <v>24</v>
      </c>
      <c r="D213" s="3">
        <v>1800</v>
      </c>
      <c r="E213" t="s">
        <v>103</v>
      </c>
      <c r="F213" s="1" t="s">
        <v>51</v>
      </c>
    </row>
    <row r="214" spans="1:11" x14ac:dyDescent="0.3">
      <c r="A214" s="14">
        <v>46171</v>
      </c>
      <c r="B214" t="s">
        <v>630</v>
      </c>
      <c r="C214" s="1" t="s">
        <v>654</v>
      </c>
      <c r="D214" s="3">
        <v>1300</v>
      </c>
      <c r="E214" t="s">
        <v>103</v>
      </c>
      <c r="F214" s="1" t="s">
        <v>51</v>
      </c>
    </row>
    <row r="215" spans="1:11" x14ac:dyDescent="0.3">
      <c r="A215" s="14">
        <v>46171</v>
      </c>
      <c r="B215" t="s">
        <v>631</v>
      </c>
      <c r="C215" s="1" t="s">
        <v>28</v>
      </c>
      <c r="D215" s="3">
        <v>1800</v>
      </c>
      <c r="E215" t="s">
        <v>103</v>
      </c>
      <c r="F215" s="1" t="s">
        <v>51</v>
      </c>
    </row>
    <row r="216" spans="1:11" x14ac:dyDescent="0.3">
      <c r="A216" s="14">
        <v>46171</v>
      </c>
      <c r="B216" t="s">
        <v>631</v>
      </c>
      <c r="C216" s="1" t="s">
        <v>653</v>
      </c>
      <c r="D216" s="3">
        <v>500</v>
      </c>
      <c r="E216" t="s">
        <v>103</v>
      </c>
      <c r="F216" s="1" t="s">
        <v>51</v>
      </c>
    </row>
    <row r="217" spans="1:11" x14ac:dyDescent="0.3">
      <c r="A217" s="14">
        <v>46171</v>
      </c>
      <c r="B217" t="s">
        <v>651</v>
      </c>
      <c r="C217" s="1" t="s">
        <v>24</v>
      </c>
      <c r="D217" s="3">
        <v>1800</v>
      </c>
      <c r="E217" t="s">
        <v>103</v>
      </c>
      <c r="F217" s="1" t="s">
        <v>51</v>
      </c>
    </row>
    <row r="218" spans="1:11" x14ac:dyDescent="0.3">
      <c r="A218" s="14">
        <v>46171</v>
      </c>
      <c r="B218" t="s">
        <v>651</v>
      </c>
      <c r="C218" s="1" t="s">
        <v>282</v>
      </c>
      <c r="D218" s="3">
        <v>500</v>
      </c>
      <c r="E218" t="s">
        <v>103</v>
      </c>
      <c r="F218" s="1" t="s">
        <v>51</v>
      </c>
    </row>
    <row r="219" spans="1:11" x14ac:dyDescent="0.3">
      <c r="A219" s="14">
        <v>46171</v>
      </c>
      <c r="B219" t="s">
        <v>632</v>
      </c>
      <c r="C219" s="1" t="s">
        <v>24</v>
      </c>
      <c r="D219" s="3">
        <v>1800</v>
      </c>
      <c r="E219" t="s">
        <v>103</v>
      </c>
      <c r="F219" s="1"/>
    </row>
    <row r="220" spans="1:11" x14ac:dyDescent="0.3">
      <c r="A220" s="14">
        <v>46171</v>
      </c>
      <c r="B220" t="s">
        <v>204</v>
      </c>
      <c r="C220" s="1" t="s">
        <v>28</v>
      </c>
      <c r="D220" s="3">
        <v>1800</v>
      </c>
      <c r="E220" t="s">
        <v>103</v>
      </c>
      <c r="F220" s="1" t="s">
        <v>46</v>
      </c>
    </row>
    <row r="221" spans="1:11" x14ac:dyDescent="0.3">
      <c r="A221" s="14">
        <v>46171</v>
      </c>
      <c r="B221" t="s">
        <v>201</v>
      </c>
      <c r="C221" s="1" t="s">
        <v>36</v>
      </c>
      <c r="D221" s="3">
        <v>0</v>
      </c>
      <c r="E221" t="s">
        <v>102</v>
      </c>
      <c r="F221" s="1"/>
    </row>
    <row r="222" spans="1:11" x14ac:dyDescent="0.3">
      <c r="A222" s="14">
        <v>46171</v>
      </c>
      <c r="B222" t="s">
        <v>640</v>
      </c>
      <c r="C222" s="1" t="s">
        <v>660</v>
      </c>
      <c r="D222" s="3">
        <v>1200</v>
      </c>
      <c r="E222" t="s">
        <v>103</v>
      </c>
      <c r="F222" s="1" t="s">
        <v>46</v>
      </c>
      <c r="K222" t="s">
        <v>662</v>
      </c>
    </row>
  </sheetData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517889-103E-4D80-BF80-84F38CA25553}">
          <x14:formula1>
            <xm:f>Listas!$D$2:$D$5</xm:f>
          </x14:formula1>
          <xm:sqref>I8:I176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D039-4D2B-4EE0-BB35-C3DB77E9B603}">
  <sheetPr>
    <tabColor theme="4" tint="0.39997558519241921"/>
  </sheetPr>
  <dimension ref="A4:K230"/>
  <sheetViews>
    <sheetView showGridLines="0" zoomScale="110" zoomScaleNormal="110" workbookViewId="0">
      <pane ySplit="8" topLeftCell="A9" activePane="bottomLeft" state="frozen"/>
      <selection pane="bottomLeft" activeCell="A8" sqref="A8"/>
    </sheetView>
  </sheetViews>
  <sheetFormatPr baseColWidth="10" defaultColWidth="0" defaultRowHeight="14.4" x14ac:dyDescent="0.3"/>
  <cols>
    <col min="1" max="1" width="14.109375" style="1" customWidth="1"/>
    <col min="2" max="2" width="28.5546875" style="15" bestFit="1" customWidth="1"/>
    <col min="3" max="3" width="42.109375" style="1" customWidth="1"/>
    <col min="4" max="4" width="9.33203125" customWidth="1"/>
    <col min="5" max="5" width="16.33203125" customWidth="1"/>
    <col min="6" max="6" width="13.109375" style="1" customWidth="1"/>
    <col min="7" max="7" width="15.44140625" customWidth="1"/>
    <col min="8" max="8" width="14.44140625" customWidth="1"/>
    <col min="9" max="9" width="11.6640625" customWidth="1"/>
    <col min="10" max="10" width="20.88671875" customWidth="1"/>
    <col min="11" max="11" width="11.44140625" customWidth="1"/>
    <col min="12" max="16384" width="11.44140625" hidden="1"/>
  </cols>
  <sheetData>
    <row r="4" spans="1:10" ht="5.25" customHeight="1" x14ac:dyDescent="0.3"/>
    <row r="7" spans="1:10" ht="18" x14ac:dyDescent="0.35">
      <c r="A7" s="32" t="s">
        <v>12</v>
      </c>
    </row>
    <row r="8" spans="1:10" x14ac:dyDescent="0.3">
      <c r="A8" s="1" t="s">
        <v>0</v>
      </c>
      <c r="B8" s="15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x14ac:dyDescent="0.3">
      <c r="A9" s="14">
        <v>46144</v>
      </c>
      <c r="B9" s="15" t="s">
        <v>83</v>
      </c>
      <c r="C9" s="1" t="s">
        <v>135</v>
      </c>
      <c r="D9" s="3">
        <v>0</v>
      </c>
      <c r="E9" t="s">
        <v>102</v>
      </c>
      <c r="F9" s="1" t="s">
        <v>51</v>
      </c>
    </row>
    <row r="10" spans="1:10" x14ac:dyDescent="0.3">
      <c r="A10" s="14">
        <v>46144</v>
      </c>
      <c r="B10" s="15" t="s">
        <v>210</v>
      </c>
      <c r="C10" s="1" t="s">
        <v>133</v>
      </c>
      <c r="D10" s="3">
        <v>6500</v>
      </c>
      <c r="E10" t="s">
        <v>103</v>
      </c>
      <c r="F10" s="1" t="s">
        <v>46</v>
      </c>
      <c r="H10" t="s">
        <v>302</v>
      </c>
      <c r="J10" t="s">
        <v>218</v>
      </c>
    </row>
    <row r="11" spans="1:10" x14ac:dyDescent="0.3">
      <c r="A11" s="14">
        <v>46144</v>
      </c>
      <c r="B11" s="15" t="s">
        <v>211</v>
      </c>
      <c r="C11" s="1" t="s">
        <v>65</v>
      </c>
      <c r="D11" s="3">
        <v>2500</v>
      </c>
      <c r="E11" t="s">
        <v>100</v>
      </c>
      <c r="F11" s="1" t="s">
        <v>51</v>
      </c>
    </row>
    <row r="12" spans="1:10" x14ac:dyDescent="0.3">
      <c r="A12" s="14">
        <v>46144</v>
      </c>
      <c r="B12" s="15" t="s">
        <v>211</v>
      </c>
      <c r="C12" s="1" t="s">
        <v>219</v>
      </c>
      <c r="D12" s="3">
        <v>2800</v>
      </c>
      <c r="E12" t="s">
        <v>100</v>
      </c>
      <c r="F12" s="1" t="s">
        <v>64</v>
      </c>
    </row>
    <row r="13" spans="1:10" x14ac:dyDescent="0.3">
      <c r="A13" s="14">
        <v>46144</v>
      </c>
      <c r="B13" s="15" t="s">
        <v>212</v>
      </c>
      <c r="C13" s="1" t="s">
        <v>220</v>
      </c>
      <c r="D13" s="3">
        <v>2500</v>
      </c>
      <c r="E13" t="s">
        <v>103</v>
      </c>
      <c r="F13" s="1" t="s">
        <v>46</v>
      </c>
      <c r="H13" t="s">
        <v>303</v>
      </c>
      <c r="J13" t="s">
        <v>266</v>
      </c>
    </row>
    <row r="14" spans="1:10" x14ac:dyDescent="0.3">
      <c r="A14" s="14">
        <v>46144</v>
      </c>
      <c r="B14" s="15" t="s">
        <v>213</v>
      </c>
      <c r="C14" s="1" t="s">
        <v>62</v>
      </c>
      <c r="D14" s="3">
        <v>1800</v>
      </c>
      <c r="E14" t="s">
        <v>103</v>
      </c>
      <c r="F14" s="1" t="s">
        <v>46</v>
      </c>
      <c r="H14" t="s">
        <v>307</v>
      </c>
      <c r="J14" t="s">
        <v>209</v>
      </c>
    </row>
    <row r="15" spans="1:10" x14ac:dyDescent="0.3">
      <c r="A15" s="14">
        <v>46144</v>
      </c>
      <c r="B15" s="15" t="s">
        <v>214</v>
      </c>
      <c r="C15" s="1" t="s">
        <v>53</v>
      </c>
      <c r="D15" s="3">
        <v>2500</v>
      </c>
      <c r="E15" t="s">
        <v>100</v>
      </c>
      <c r="F15" s="1" t="s">
        <v>31</v>
      </c>
    </row>
    <row r="16" spans="1:10" x14ac:dyDescent="0.3">
      <c r="A16" s="14">
        <v>46144</v>
      </c>
      <c r="B16" s="15" t="s">
        <v>215</v>
      </c>
      <c r="C16" s="1" t="s">
        <v>24</v>
      </c>
      <c r="D16" s="3">
        <v>2000</v>
      </c>
      <c r="E16" t="s">
        <v>103</v>
      </c>
      <c r="F16" s="1" t="s">
        <v>51</v>
      </c>
    </row>
    <row r="17" spans="1:10" x14ac:dyDescent="0.3">
      <c r="A17" s="14">
        <v>46144</v>
      </c>
      <c r="B17" s="15" t="s">
        <v>215</v>
      </c>
      <c r="C17" s="1" t="s">
        <v>223</v>
      </c>
      <c r="D17" s="3">
        <v>2500</v>
      </c>
      <c r="E17" t="s">
        <v>103</v>
      </c>
      <c r="F17" s="1" t="s">
        <v>51</v>
      </c>
    </row>
    <row r="18" spans="1:10" x14ac:dyDescent="0.3">
      <c r="A18" s="14">
        <v>46144</v>
      </c>
      <c r="B18" s="15" t="s">
        <v>215</v>
      </c>
      <c r="C18" s="1" t="s">
        <v>69</v>
      </c>
      <c r="D18" s="3">
        <v>1000</v>
      </c>
      <c r="E18" t="s">
        <v>103</v>
      </c>
      <c r="F18" s="1" t="s">
        <v>51</v>
      </c>
    </row>
    <row r="19" spans="1:10" x14ac:dyDescent="0.3">
      <c r="A19" s="14">
        <v>46144</v>
      </c>
      <c r="B19" s="15" t="s">
        <v>217</v>
      </c>
      <c r="C19" s="1" t="s">
        <v>24</v>
      </c>
      <c r="D19" s="3">
        <v>0</v>
      </c>
      <c r="E19" t="s">
        <v>102</v>
      </c>
    </row>
    <row r="20" spans="1:10" x14ac:dyDescent="0.3">
      <c r="A20" s="14">
        <v>46146</v>
      </c>
      <c r="B20" s="15" t="s">
        <v>232</v>
      </c>
      <c r="C20" s="1" t="s">
        <v>24</v>
      </c>
      <c r="D20" s="3">
        <v>2000</v>
      </c>
      <c r="E20" t="s">
        <v>103</v>
      </c>
      <c r="F20" s="1" t="s">
        <v>32</v>
      </c>
      <c r="H20" t="s">
        <v>304</v>
      </c>
      <c r="J20" t="s">
        <v>260</v>
      </c>
    </row>
    <row r="21" spans="1:10" x14ac:dyDescent="0.3">
      <c r="A21" s="14">
        <v>46146</v>
      </c>
      <c r="B21" s="15" t="s">
        <v>233</v>
      </c>
      <c r="C21" s="1" t="s">
        <v>237</v>
      </c>
      <c r="D21" s="3">
        <v>12500</v>
      </c>
      <c r="E21" t="s">
        <v>103</v>
      </c>
      <c r="F21" s="1" t="s">
        <v>32</v>
      </c>
      <c r="H21" t="s">
        <v>305</v>
      </c>
      <c r="J21" t="s">
        <v>260</v>
      </c>
    </row>
    <row r="22" spans="1:10" x14ac:dyDescent="0.3">
      <c r="A22" s="14">
        <v>46146</v>
      </c>
      <c r="B22" s="15" t="s">
        <v>234</v>
      </c>
      <c r="C22" s="1" t="s">
        <v>238</v>
      </c>
      <c r="D22" s="3">
        <v>3000</v>
      </c>
      <c r="E22" t="s">
        <v>103</v>
      </c>
      <c r="F22" s="1" t="s">
        <v>240</v>
      </c>
      <c r="H22" t="s">
        <v>505</v>
      </c>
      <c r="J22" t="s">
        <v>260</v>
      </c>
    </row>
    <row r="23" spans="1:10" x14ac:dyDescent="0.3">
      <c r="A23" s="14">
        <v>46146</v>
      </c>
      <c r="B23" s="15" t="s">
        <v>234</v>
      </c>
      <c r="C23" s="1" t="s">
        <v>239</v>
      </c>
      <c r="D23" s="3">
        <v>4900</v>
      </c>
      <c r="E23" t="s">
        <v>103</v>
      </c>
      <c r="F23" s="1" t="s">
        <v>146</v>
      </c>
      <c r="J23" t="s">
        <v>260</v>
      </c>
    </row>
    <row r="24" spans="1:10" x14ac:dyDescent="0.3">
      <c r="A24" s="14">
        <v>46146</v>
      </c>
      <c r="B24" s="15" t="s">
        <v>242</v>
      </c>
      <c r="C24" s="1" t="s">
        <v>62</v>
      </c>
      <c r="D24" s="3">
        <v>2000</v>
      </c>
      <c r="E24" t="s">
        <v>103</v>
      </c>
      <c r="F24" s="1" t="s">
        <v>31</v>
      </c>
    </row>
    <row r="25" spans="1:10" x14ac:dyDescent="0.3">
      <c r="A25" s="14">
        <v>46146</v>
      </c>
      <c r="B25" s="15" t="s">
        <v>235</v>
      </c>
      <c r="C25" s="1" t="s">
        <v>24</v>
      </c>
      <c r="D25" s="3">
        <v>2000</v>
      </c>
      <c r="E25" t="s">
        <v>103</v>
      </c>
      <c r="F25" s="1" t="s">
        <v>31</v>
      </c>
    </row>
    <row r="26" spans="1:10" x14ac:dyDescent="0.3">
      <c r="A26" s="14">
        <v>46147</v>
      </c>
      <c r="B26" s="15" t="s">
        <v>82</v>
      </c>
      <c r="C26" s="1" t="s">
        <v>87</v>
      </c>
      <c r="D26" s="3">
        <v>2000</v>
      </c>
      <c r="E26" t="s">
        <v>103</v>
      </c>
      <c r="F26" s="1" t="s">
        <v>46</v>
      </c>
      <c r="H26" t="s">
        <v>306</v>
      </c>
    </row>
    <row r="27" spans="1:10" x14ac:dyDescent="0.3">
      <c r="A27" s="14">
        <v>46147</v>
      </c>
      <c r="B27" s="15" t="s">
        <v>249</v>
      </c>
      <c r="C27" s="1" t="s">
        <v>24</v>
      </c>
      <c r="D27" s="3">
        <v>2000</v>
      </c>
      <c r="E27" t="s">
        <v>17</v>
      </c>
      <c r="F27" s="1" t="s">
        <v>46</v>
      </c>
      <c r="H27" t="s">
        <v>265</v>
      </c>
    </row>
    <row r="28" spans="1:10" x14ac:dyDescent="0.3">
      <c r="A28" s="14">
        <v>46147</v>
      </c>
      <c r="B28" s="15" t="s">
        <v>249</v>
      </c>
      <c r="C28" s="1" t="s">
        <v>143</v>
      </c>
      <c r="D28" s="3">
        <v>2800</v>
      </c>
      <c r="E28" t="s">
        <v>17</v>
      </c>
      <c r="F28" s="1" t="s">
        <v>46</v>
      </c>
      <c r="H28" t="s">
        <v>265</v>
      </c>
    </row>
    <row r="29" spans="1:10" x14ac:dyDescent="0.3">
      <c r="A29" s="14">
        <v>46147</v>
      </c>
      <c r="B29" s="15" t="s">
        <v>250</v>
      </c>
      <c r="C29" s="1" t="s">
        <v>62</v>
      </c>
      <c r="D29" s="3">
        <v>0</v>
      </c>
      <c r="E29" t="s">
        <v>102</v>
      </c>
    </row>
    <row r="30" spans="1:10" x14ac:dyDescent="0.3">
      <c r="A30" s="14">
        <v>46147</v>
      </c>
      <c r="B30" s="15" t="s">
        <v>187</v>
      </c>
      <c r="C30" s="1" t="s">
        <v>135</v>
      </c>
      <c r="D30" s="3">
        <v>0</v>
      </c>
    </row>
    <row r="31" spans="1:10" x14ac:dyDescent="0.3">
      <c r="A31" s="14">
        <v>46147</v>
      </c>
      <c r="B31" s="15" t="s">
        <v>121</v>
      </c>
      <c r="C31" s="1" t="s">
        <v>62</v>
      </c>
      <c r="D31" s="3">
        <v>1800</v>
      </c>
      <c r="E31" t="s">
        <v>103</v>
      </c>
      <c r="F31" s="1" t="s">
        <v>51</v>
      </c>
    </row>
    <row r="32" spans="1:10" x14ac:dyDescent="0.3">
      <c r="A32" s="14">
        <v>46147</v>
      </c>
      <c r="B32" s="15" t="s">
        <v>121</v>
      </c>
      <c r="C32" s="1" t="s">
        <v>56</v>
      </c>
      <c r="D32" s="3">
        <v>1200</v>
      </c>
      <c r="E32" t="s">
        <v>103</v>
      </c>
      <c r="F32" s="1" t="s">
        <v>51</v>
      </c>
      <c r="J32" t="s">
        <v>251</v>
      </c>
    </row>
    <row r="33" spans="1:8" x14ac:dyDescent="0.3">
      <c r="A33" s="14">
        <v>46147</v>
      </c>
      <c r="B33" s="15" t="s">
        <v>252</v>
      </c>
      <c r="C33" s="1" t="s">
        <v>24</v>
      </c>
      <c r="D33" s="3">
        <v>2000</v>
      </c>
      <c r="E33" t="s">
        <v>103</v>
      </c>
      <c r="F33" s="1" t="s">
        <v>46</v>
      </c>
      <c r="H33" t="s">
        <v>437</v>
      </c>
    </row>
    <row r="34" spans="1:8" x14ac:dyDescent="0.3">
      <c r="A34" s="14">
        <v>46147</v>
      </c>
      <c r="B34" s="15" t="s">
        <v>252</v>
      </c>
      <c r="C34" s="1" t="s">
        <v>272</v>
      </c>
      <c r="D34" s="3">
        <v>2100</v>
      </c>
      <c r="E34" t="s">
        <v>103</v>
      </c>
      <c r="F34" s="1" t="s">
        <v>146</v>
      </c>
      <c r="H34" t="s">
        <v>437</v>
      </c>
    </row>
    <row r="35" spans="1:8" x14ac:dyDescent="0.3">
      <c r="A35" s="14">
        <v>46147</v>
      </c>
      <c r="B35" s="15" t="s">
        <v>253</v>
      </c>
      <c r="C35" s="1" t="s">
        <v>24</v>
      </c>
      <c r="D35" s="3">
        <v>2000</v>
      </c>
      <c r="E35" t="s">
        <v>103</v>
      </c>
      <c r="F35" s="1" t="s">
        <v>51</v>
      </c>
    </row>
    <row r="36" spans="1:8" x14ac:dyDescent="0.3">
      <c r="A36" s="14">
        <v>46147</v>
      </c>
      <c r="B36" s="15" t="s">
        <v>273</v>
      </c>
      <c r="C36" s="1" t="s">
        <v>147</v>
      </c>
      <c r="D36" s="3">
        <v>6000</v>
      </c>
      <c r="E36" t="s">
        <v>103</v>
      </c>
      <c r="F36" s="1" t="s">
        <v>51</v>
      </c>
    </row>
    <row r="37" spans="1:8" x14ac:dyDescent="0.3">
      <c r="A37" s="14">
        <v>46147</v>
      </c>
      <c r="B37" s="15" t="s">
        <v>273</v>
      </c>
      <c r="C37" s="1" t="s">
        <v>75</v>
      </c>
      <c r="D37" s="3">
        <v>8000</v>
      </c>
      <c r="E37" t="s">
        <v>103</v>
      </c>
      <c r="F37" s="1" t="s">
        <v>51</v>
      </c>
    </row>
    <row r="38" spans="1:8" x14ac:dyDescent="0.3">
      <c r="A38" s="14">
        <v>46147</v>
      </c>
      <c r="B38" s="15" t="s">
        <v>254</v>
      </c>
      <c r="C38" s="1" t="s">
        <v>75</v>
      </c>
      <c r="D38" s="3">
        <v>8000</v>
      </c>
      <c r="E38" t="s">
        <v>103</v>
      </c>
      <c r="F38" s="1" t="s">
        <v>64</v>
      </c>
    </row>
    <row r="39" spans="1:8" x14ac:dyDescent="0.3">
      <c r="A39" s="14">
        <v>46147</v>
      </c>
      <c r="B39" s="15" t="s">
        <v>255</v>
      </c>
      <c r="C39" s="1" t="s">
        <v>24</v>
      </c>
      <c r="D39" s="3">
        <v>2000</v>
      </c>
      <c r="E39" t="s">
        <v>16</v>
      </c>
      <c r="F39" s="1" t="s">
        <v>51</v>
      </c>
    </row>
    <row r="40" spans="1:8" x14ac:dyDescent="0.3">
      <c r="A40" s="14">
        <v>46147</v>
      </c>
      <c r="B40" s="15" t="s">
        <v>255</v>
      </c>
      <c r="C40" s="1" t="s">
        <v>274</v>
      </c>
      <c r="D40" s="3">
        <v>1100</v>
      </c>
      <c r="E40" t="s">
        <v>16</v>
      </c>
      <c r="F40" s="1" t="s">
        <v>64</v>
      </c>
    </row>
    <row r="41" spans="1:8" x14ac:dyDescent="0.3">
      <c r="A41" s="14">
        <v>46147</v>
      </c>
      <c r="B41" s="15" t="s">
        <v>256</v>
      </c>
      <c r="C41" s="1" t="s">
        <v>62</v>
      </c>
      <c r="D41" s="3">
        <v>1800</v>
      </c>
      <c r="E41" t="s">
        <v>103</v>
      </c>
      <c r="F41" s="1" t="s">
        <v>51</v>
      </c>
    </row>
    <row r="42" spans="1:8" x14ac:dyDescent="0.3">
      <c r="A42" s="14">
        <v>46147</v>
      </c>
      <c r="B42" s="15" t="s">
        <v>256</v>
      </c>
      <c r="C42" s="1" t="s">
        <v>80</v>
      </c>
      <c r="D42" s="3">
        <v>2500</v>
      </c>
      <c r="E42" t="s">
        <v>103</v>
      </c>
      <c r="F42" s="1" t="s">
        <v>51</v>
      </c>
    </row>
    <row r="43" spans="1:8" x14ac:dyDescent="0.3">
      <c r="A43" s="14">
        <v>46147</v>
      </c>
      <c r="B43" s="15" t="s">
        <v>256</v>
      </c>
      <c r="C43" s="1" t="s">
        <v>275</v>
      </c>
      <c r="D43" s="3">
        <v>5800</v>
      </c>
      <c r="E43" t="s">
        <v>103</v>
      </c>
      <c r="F43" s="1" t="s">
        <v>51</v>
      </c>
    </row>
    <row r="44" spans="1:8" x14ac:dyDescent="0.3">
      <c r="A44" s="14">
        <v>46147</v>
      </c>
      <c r="B44" s="15" t="s">
        <v>257</v>
      </c>
      <c r="C44" s="1" t="s">
        <v>276</v>
      </c>
      <c r="D44" s="3">
        <v>4000</v>
      </c>
      <c r="E44" t="s">
        <v>103</v>
      </c>
      <c r="F44" s="1" t="s">
        <v>51</v>
      </c>
    </row>
    <row r="45" spans="1:8" x14ac:dyDescent="0.3">
      <c r="A45" s="14">
        <v>46147</v>
      </c>
      <c r="B45" s="15" t="s">
        <v>258</v>
      </c>
      <c r="C45" s="1" t="s">
        <v>259</v>
      </c>
      <c r="D45" s="3">
        <v>0</v>
      </c>
      <c r="E45" t="s">
        <v>102</v>
      </c>
    </row>
    <row r="46" spans="1:8" x14ac:dyDescent="0.3">
      <c r="A46" s="14">
        <v>46147</v>
      </c>
      <c r="B46" s="15" t="s">
        <v>129</v>
      </c>
      <c r="C46" s="1" t="s">
        <v>261</v>
      </c>
      <c r="D46" s="3">
        <v>1100</v>
      </c>
      <c r="E46" t="s">
        <v>103</v>
      </c>
      <c r="F46" s="1" t="s">
        <v>46</v>
      </c>
      <c r="H46" t="s">
        <v>262</v>
      </c>
    </row>
    <row r="47" spans="1:8" x14ac:dyDescent="0.3">
      <c r="A47" s="14">
        <v>46147</v>
      </c>
      <c r="B47" s="15" t="s">
        <v>263</v>
      </c>
      <c r="C47" s="1" t="s">
        <v>56</v>
      </c>
      <c r="D47" s="3">
        <v>0</v>
      </c>
      <c r="E47" t="s">
        <v>102</v>
      </c>
    </row>
    <row r="48" spans="1:8" x14ac:dyDescent="0.3">
      <c r="A48" s="14">
        <v>46148</v>
      </c>
      <c r="B48" s="15" t="s">
        <v>96</v>
      </c>
      <c r="C48" s="1" t="s">
        <v>292</v>
      </c>
      <c r="D48" s="3">
        <v>4100</v>
      </c>
      <c r="E48" t="s">
        <v>103</v>
      </c>
      <c r="F48" s="1" t="s">
        <v>51</v>
      </c>
    </row>
    <row r="49" spans="1:10" x14ac:dyDescent="0.3">
      <c r="A49" s="14">
        <v>46148</v>
      </c>
      <c r="B49" s="15" t="s">
        <v>294</v>
      </c>
      <c r="C49" s="1" t="s">
        <v>28</v>
      </c>
      <c r="D49" s="3">
        <v>1700</v>
      </c>
      <c r="E49" t="s">
        <v>16</v>
      </c>
      <c r="F49" s="1" t="s">
        <v>51</v>
      </c>
    </row>
    <row r="50" spans="1:10" x14ac:dyDescent="0.3">
      <c r="A50" s="14">
        <v>46148</v>
      </c>
      <c r="B50" s="15" t="s">
        <v>294</v>
      </c>
      <c r="D50" s="3">
        <v>100</v>
      </c>
      <c r="E50" t="s">
        <v>100</v>
      </c>
      <c r="F50" s="1" t="s">
        <v>51</v>
      </c>
    </row>
    <row r="51" spans="1:10" x14ac:dyDescent="0.3">
      <c r="A51" s="14">
        <v>46148</v>
      </c>
      <c r="B51" s="15" t="s">
        <v>295</v>
      </c>
      <c r="C51" s="1" t="s">
        <v>39</v>
      </c>
      <c r="D51" s="3">
        <v>3000</v>
      </c>
      <c r="E51" t="s">
        <v>103</v>
      </c>
      <c r="F51" s="1" t="s">
        <v>51</v>
      </c>
    </row>
    <row r="52" spans="1:10" x14ac:dyDescent="0.3">
      <c r="A52" s="14">
        <v>46148</v>
      </c>
      <c r="B52" s="15" t="s">
        <v>295</v>
      </c>
      <c r="C52" s="1" t="s">
        <v>60</v>
      </c>
      <c r="D52" s="3">
        <v>1000</v>
      </c>
      <c r="E52" t="s">
        <v>103</v>
      </c>
      <c r="F52" s="1" t="s">
        <v>51</v>
      </c>
    </row>
    <row r="53" spans="1:10" x14ac:dyDescent="0.3">
      <c r="A53" s="14">
        <v>46148</v>
      </c>
      <c r="B53" s="15" t="s">
        <v>186</v>
      </c>
      <c r="C53" s="1" t="s">
        <v>135</v>
      </c>
      <c r="D53" s="3">
        <v>0</v>
      </c>
    </row>
    <row r="54" spans="1:10" x14ac:dyDescent="0.3">
      <c r="A54" s="14">
        <v>46149</v>
      </c>
      <c r="B54" s="15" t="s">
        <v>321</v>
      </c>
      <c r="C54" s="1" t="s">
        <v>133</v>
      </c>
      <c r="D54" s="3">
        <v>6000</v>
      </c>
      <c r="E54" t="s">
        <v>17</v>
      </c>
      <c r="F54" s="1" t="s">
        <v>64</v>
      </c>
      <c r="J54" t="s">
        <v>322</v>
      </c>
    </row>
    <row r="55" spans="1:10" x14ac:dyDescent="0.3">
      <c r="A55" s="14">
        <v>46150</v>
      </c>
      <c r="B55" s="15" t="s">
        <v>138</v>
      </c>
      <c r="C55" s="1" t="s">
        <v>331</v>
      </c>
      <c r="D55" s="3">
        <v>8000</v>
      </c>
      <c r="E55" t="s">
        <v>103</v>
      </c>
      <c r="F55" s="1" t="s">
        <v>46</v>
      </c>
      <c r="H55" t="s">
        <v>506</v>
      </c>
    </row>
    <row r="56" spans="1:10" x14ac:dyDescent="0.3">
      <c r="A56" s="14">
        <v>46150</v>
      </c>
      <c r="B56" s="15" t="s">
        <v>139</v>
      </c>
      <c r="C56" s="1" t="s">
        <v>331</v>
      </c>
      <c r="D56" s="3">
        <v>8000</v>
      </c>
      <c r="E56" t="s">
        <v>103</v>
      </c>
      <c r="F56" s="1" t="s">
        <v>46</v>
      </c>
      <c r="H56" t="s">
        <v>506</v>
      </c>
    </row>
    <row r="57" spans="1:10" x14ac:dyDescent="0.3">
      <c r="A57" s="14">
        <v>46150</v>
      </c>
      <c r="B57" s="15" t="s">
        <v>138</v>
      </c>
      <c r="C57" s="1" t="s">
        <v>126</v>
      </c>
      <c r="D57" s="3">
        <v>1600</v>
      </c>
      <c r="E57" t="s">
        <v>103</v>
      </c>
      <c r="F57" s="1" t="s">
        <v>46</v>
      </c>
      <c r="H57" t="s">
        <v>506</v>
      </c>
    </row>
    <row r="58" spans="1:10" x14ac:dyDescent="0.3">
      <c r="A58" s="14">
        <v>46150</v>
      </c>
      <c r="B58" s="15" t="s">
        <v>326</v>
      </c>
      <c r="C58" s="1" t="s">
        <v>35</v>
      </c>
      <c r="D58" s="3">
        <v>1000</v>
      </c>
      <c r="E58" t="s">
        <v>16</v>
      </c>
      <c r="F58" s="1" t="s">
        <v>51</v>
      </c>
    </row>
    <row r="59" spans="1:10" x14ac:dyDescent="0.3">
      <c r="A59" s="14">
        <v>46150</v>
      </c>
      <c r="B59" s="15" t="s">
        <v>321</v>
      </c>
      <c r="C59" s="1" t="s">
        <v>288</v>
      </c>
      <c r="D59" s="3">
        <v>6000</v>
      </c>
      <c r="F59" s="1" t="s">
        <v>51</v>
      </c>
      <c r="J59" t="s">
        <v>352</v>
      </c>
    </row>
    <row r="60" spans="1:10" x14ac:dyDescent="0.3">
      <c r="A60" s="14">
        <v>46150</v>
      </c>
      <c r="B60" s="15" t="s">
        <v>321</v>
      </c>
      <c r="C60" s="1" t="s">
        <v>335</v>
      </c>
      <c r="D60" s="3">
        <v>1000</v>
      </c>
      <c r="E60" t="s">
        <v>16</v>
      </c>
      <c r="F60" s="1" t="s">
        <v>51</v>
      </c>
    </row>
    <row r="61" spans="1:10" x14ac:dyDescent="0.3">
      <c r="A61" s="14">
        <v>46150</v>
      </c>
      <c r="B61" s="15" t="s">
        <v>327</v>
      </c>
      <c r="C61" s="1" t="s">
        <v>338</v>
      </c>
      <c r="D61" s="3">
        <v>3000</v>
      </c>
      <c r="E61" t="s">
        <v>16</v>
      </c>
      <c r="F61" s="1" t="s">
        <v>51</v>
      </c>
    </row>
    <row r="62" spans="1:10" x14ac:dyDescent="0.3">
      <c r="A62" s="14">
        <v>46150</v>
      </c>
      <c r="B62" s="15" t="s">
        <v>328</v>
      </c>
      <c r="C62" s="1" t="s">
        <v>24</v>
      </c>
      <c r="D62" s="3">
        <v>2000</v>
      </c>
      <c r="E62" t="s">
        <v>16</v>
      </c>
      <c r="F62" s="1" t="s">
        <v>51</v>
      </c>
    </row>
    <row r="63" spans="1:10" x14ac:dyDescent="0.3">
      <c r="A63" s="14">
        <v>46150</v>
      </c>
      <c r="B63" s="15" t="s">
        <v>329</v>
      </c>
      <c r="C63" s="1" t="s">
        <v>75</v>
      </c>
      <c r="D63" s="3">
        <v>7500</v>
      </c>
      <c r="E63" t="s">
        <v>103</v>
      </c>
      <c r="F63" s="1" t="s">
        <v>46</v>
      </c>
      <c r="H63" t="s">
        <v>343</v>
      </c>
    </row>
    <row r="64" spans="1:10" x14ac:dyDescent="0.3">
      <c r="A64" s="14">
        <v>46150</v>
      </c>
      <c r="B64" s="15" t="s">
        <v>330</v>
      </c>
      <c r="C64" s="1" t="s">
        <v>28</v>
      </c>
      <c r="D64" s="3">
        <v>4500</v>
      </c>
      <c r="E64" t="s">
        <v>76</v>
      </c>
      <c r="F64" s="1" t="s">
        <v>51</v>
      </c>
    </row>
    <row r="65" spans="1:8" x14ac:dyDescent="0.3">
      <c r="A65" s="14">
        <v>46150</v>
      </c>
      <c r="B65" s="15" t="s">
        <v>136</v>
      </c>
      <c r="C65" s="1" t="s">
        <v>340</v>
      </c>
      <c r="D65" s="3">
        <v>4800</v>
      </c>
      <c r="E65" t="s">
        <v>76</v>
      </c>
      <c r="F65" s="1" t="s">
        <v>46</v>
      </c>
      <c r="H65" t="s">
        <v>507</v>
      </c>
    </row>
    <row r="66" spans="1:8" x14ac:dyDescent="0.3">
      <c r="A66" s="14">
        <v>46150</v>
      </c>
      <c r="B66" s="15" t="s">
        <v>108</v>
      </c>
      <c r="C66" s="1" t="s">
        <v>93</v>
      </c>
      <c r="D66" s="3">
        <v>1100</v>
      </c>
      <c r="E66" t="s">
        <v>100</v>
      </c>
      <c r="F66" s="1" t="s">
        <v>46</v>
      </c>
      <c r="H66" t="s">
        <v>438</v>
      </c>
    </row>
    <row r="67" spans="1:8" x14ac:dyDescent="0.3">
      <c r="A67" s="14">
        <v>46150</v>
      </c>
      <c r="B67" s="15" t="s">
        <v>116</v>
      </c>
      <c r="C67" s="1" t="s">
        <v>354</v>
      </c>
      <c r="D67" s="3">
        <v>3800</v>
      </c>
      <c r="E67" t="s">
        <v>103</v>
      </c>
      <c r="F67" s="1" t="s">
        <v>51</v>
      </c>
    </row>
    <row r="68" spans="1:8" x14ac:dyDescent="0.3">
      <c r="A68" s="14">
        <v>46151</v>
      </c>
      <c r="B68" s="15" t="s">
        <v>359</v>
      </c>
      <c r="C68" s="1" t="s">
        <v>34</v>
      </c>
      <c r="D68" s="3">
        <v>6000</v>
      </c>
      <c r="E68" t="s">
        <v>103</v>
      </c>
      <c r="F68" s="1" t="s">
        <v>46</v>
      </c>
      <c r="H68" t="s">
        <v>505</v>
      </c>
    </row>
    <row r="69" spans="1:8" x14ac:dyDescent="0.3">
      <c r="A69" s="14">
        <v>46151</v>
      </c>
      <c r="B69" s="15" t="s">
        <v>359</v>
      </c>
      <c r="C69" s="1" t="s">
        <v>360</v>
      </c>
      <c r="D69" s="3">
        <v>2100</v>
      </c>
      <c r="E69" t="s">
        <v>103</v>
      </c>
      <c r="F69" s="1" t="s">
        <v>46</v>
      </c>
    </row>
    <row r="70" spans="1:8" x14ac:dyDescent="0.3">
      <c r="A70" s="14">
        <v>46151</v>
      </c>
      <c r="B70" s="15" t="s">
        <v>355</v>
      </c>
      <c r="C70" s="1" t="s">
        <v>34</v>
      </c>
      <c r="D70" s="3">
        <v>6000</v>
      </c>
      <c r="E70" t="s">
        <v>103</v>
      </c>
      <c r="F70" s="1" t="s">
        <v>46</v>
      </c>
      <c r="H70" t="s">
        <v>439</v>
      </c>
    </row>
    <row r="71" spans="1:8" x14ac:dyDescent="0.3">
      <c r="A71" s="14">
        <v>46151</v>
      </c>
      <c r="B71" s="15" t="s">
        <v>355</v>
      </c>
      <c r="C71" s="1" t="s">
        <v>143</v>
      </c>
      <c r="D71" s="3">
        <v>2800</v>
      </c>
      <c r="E71" t="s">
        <v>103</v>
      </c>
      <c r="F71" s="1" t="s">
        <v>51</v>
      </c>
    </row>
    <row r="72" spans="1:8" x14ac:dyDescent="0.3">
      <c r="A72" s="14">
        <v>46151</v>
      </c>
      <c r="B72" s="15" t="s">
        <v>356</v>
      </c>
      <c r="C72" s="1" t="s">
        <v>24</v>
      </c>
      <c r="D72" s="3">
        <v>2000</v>
      </c>
      <c r="E72" t="s">
        <v>16</v>
      </c>
      <c r="F72" s="1" t="s">
        <v>51</v>
      </c>
    </row>
    <row r="73" spans="1:8" x14ac:dyDescent="0.3">
      <c r="A73" s="14">
        <v>46151</v>
      </c>
      <c r="B73" s="15" t="s">
        <v>357</v>
      </c>
      <c r="C73" s="1" t="s">
        <v>35</v>
      </c>
      <c r="D73" s="3">
        <v>6000</v>
      </c>
      <c r="E73" t="s">
        <v>100</v>
      </c>
      <c r="F73" s="1" t="s">
        <v>51</v>
      </c>
    </row>
    <row r="74" spans="1:8" x14ac:dyDescent="0.3">
      <c r="A74" s="14">
        <v>46151</v>
      </c>
      <c r="B74" s="15" t="s">
        <v>358</v>
      </c>
      <c r="C74" s="1" t="s">
        <v>28</v>
      </c>
      <c r="D74" s="3">
        <v>1800</v>
      </c>
      <c r="E74" t="s">
        <v>103</v>
      </c>
      <c r="F74" s="1" t="s">
        <v>51</v>
      </c>
    </row>
    <row r="75" spans="1:8" x14ac:dyDescent="0.3">
      <c r="A75" s="14">
        <v>46151</v>
      </c>
      <c r="B75" s="15" t="s">
        <v>79</v>
      </c>
      <c r="C75" s="1" t="s">
        <v>45</v>
      </c>
      <c r="D75" s="3">
        <v>0</v>
      </c>
      <c r="E75" t="s">
        <v>102</v>
      </c>
      <c r="F75" s="1" t="s">
        <v>51</v>
      </c>
    </row>
    <row r="76" spans="1:8" x14ac:dyDescent="0.3">
      <c r="A76" s="14">
        <v>46151</v>
      </c>
      <c r="B76" s="15" t="s">
        <v>106</v>
      </c>
      <c r="C76" s="1" t="s">
        <v>93</v>
      </c>
      <c r="D76" s="3">
        <v>1100</v>
      </c>
      <c r="E76" t="s">
        <v>100</v>
      </c>
      <c r="F76" s="1" t="s">
        <v>51</v>
      </c>
    </row>
    <row r="77" spans="1:8" x14ac:dyDescent="0.3">
      <c r="A77" s="14">
        <v>46151</v>
      </c>
      <c r="B77" s="15" t="s">
        <v>363</v>
      </c>
      <c r="C77" s="1" t="s">
        <v>93</v>
      </c>
      <c r="D77" s="3">
        <v>1100</v>
      </c>
      <c r="E77" t="s">
        <v>76</v>
      </c>
      <c r="F77" s="1" t="s">
        <v>51</v>
      </c>
    </row>
    <row r="78" spans="1:8" x14ac:dyDescent="0.3">
      <c r="A78" s="14">
        <v>46153</v>
      </c>
      <c r="B78" s="15" t="s">
        <v>374</v>
      </c>
      <c r="C78" s="1" t="s">
        <v>24</v>
      </c>
      <c r="D78" s="3">
        <v>2000</v>
      </c>
      <c r="E78" t="s">
        <v>103</v>
      </c>
      <c r="F78" s="1" t="s">
        <v>31</v>
      </c>
    </row>
    <row r="79" spans="1:8" x14ac:dyDescent="0.3">
      <c r="A79" s="14">
        <v>46153</v>
      </c>
      <c r="B79" s="15" t="s">
        <v>374</v>
      </c>
      <c r="C79" s="1" t="s">
        <v>378</v>
      </c>
      <c r="D79" s="3">
        <v>1100</v>
      </c>
      <c r="E79" t="s">
        <v>16</v>
      </c>
      <c r="F79" s="1" t="s">
        <v>31</v>
      </c>
    </row>
    <row r="80" spans="1:8" x14ac:dyDescent="0.3">
      <c r="A80" s="14">
        <v>46153</v>
      </c>
      <c r="B80" s="15" t="s">
        <v>375</v>
      </c>
      <c r="C80" s="1" t="s">
        <v>205</v>
      </c>
      <c r="D80" s="3">
        <v>5000</v>
      </c>
      <c r="E80" t="s">
        <v>76</v>
      </c>
      <c r="F80" s="1" t="s">
        <v>51</v>
      </c>
    </row>
    <row r="81" spans="1:8" x14ac:dyDescent="0.3">
      <c r="A81" s="14">
        <v>46153</v>
      </c>
      <c r="B81" s="15" t="s">
        <v>376</v>
      </c>
      <c r="D81" s="3">
        <v>2000</v>
      </c>
      <c r="E81" t="s">
        <v>103</v>
      </c>
      <c r="F81" s="1" t="s">
        <v>51</v>
      </c>
    </row>
    <row r="82" spans="1:8" x14ac:dyDescent="0.3">
      <c r="A82" s="14">
        <v>46153</v>
      </c>
      <c r="B82" s="15" t="s">
        <v>376</v>
      </c>
      <c r="C82" s="1" t="s">
        <v>378</v>
      </c>
      <c r="D82" s="3">
        <v>1100</v>
      </c>
      <c r="E82" t="s">
        <v>103</v>
      </c>
      <c r="F82" s="1" t="s">
        <v>51</v>
      </c>
    </row>
    <row r="83" spans="1:8" x14ac:dyDescent="0.3">
      <c r="A83" s="14">
        <v>46154</v>
      </c>
      <c r="B83" s="15" t="s">
        <v>168</v>
      </c>
      <c r="C83" s="1" t="s">
        <v>166</v>
      </c>
      <c r="D83" s="3">
        <v>2100</v>
      </c>
      <c r="E83" t="s">
        <v>100</v>
      </c>
      <c r="F83" s="1" t="s">
        <v>51</v>
      </c>
    </row>
    <row r="84" spans="1:8" x14ac:dyDescent="0.3">
      <c r="A84" s="14">
        <v>46154</v>
      </c>
      <c r="B84" s="15" t="s">
        <v>129</v>
      </c>
      <c r="C84" s="1" t="s">
        <v>38</v>
      </c>
      <c r="D84" s="3">
        <v>1000</v>
      </c>
      <c r="E84" t="s">
        <v>103</v>
      </c>
      <c r="F84" s="1" t="s">
        <v>46</v>
      </c>
      <c r="H84" t="s">
        <v>440</v>
      </c>
    </row>
    <row r="85" spans="1:8" x14ac:dyDescent="0.3">
      <c r="A85" s="14">
        <v>46154</v>
      </c>
      <c r="B85" s="15" t="s">
        <v>128</v>
      </c>
      <c r="C85" s="1" t="s">
        <v>132</v>
      </c>
      <c r="D85" s="3">
        <v>1000</v>
      </c>
      <c r="E85" t="s">
        <v>103</v>
      </c>
      <c r="F85" s="1" t="s">
        <v>46</v>
      </c>
      <c r="H85" t="s">
        <v>508</v>
      </c>
    </row>
    <row r="86" spans="1:8" x14ac:dyDescent="0.3">
      <c r="A86" s="14">
        <v>46154</v>
      </c>
      <c r="B86" s="15" t="s">
        <v>388</v>
      </c>
      <c r="C86" s="1" t="s">
        <v>28</v>
      </c>
      <c r="D86" s="3">
        <v>1800</v>
      </c>
      <c r="E86" t="s">
        <v>103</v>
      </c>
      <c r="F86" s="1" t="s">
        <v>51</v>
      </c>
    </row>
    <row r="87" spans="1:8" x14ac:dyDescent="0.3">
      <c r="A87" s="14">
        <v>46154</v>
      </c>
      <c r="B87" s="15" t="s">
        <v>388</v>
      </c>
      <c r="C87" s="1" t="s">
        <v>390</v>
      </c>
      <c r="D87" s="3">
        <v>2800</v>
      </c>
      <c r="E87" t="s">
        <v>103</v>
      </c>
      <c r="F87" s="1" t="s">
        <v>51</v>
      </c>
    </row>
    <row r="88" spans="1:8" x14ac:dyDescent="0.3">
      <c r="A88" s="14">
        <v>46154</v>
      </c>
      <c r="B88" s="15" t="s">
        <v>389</v>
      </c>
      <c r="C88" s="1" t="s">
        <v>392</v>
      </c>
      <c r="D88" s="3">
        <v>3000</v>
      </c>
      <c r="E88" t="s">
        <v>103</v>
      </c>
      <c r="F88" s="1" t="s">
        <v>46</v>
      </c>
      <c r="H88" t="s">
        <v>509</v>
      </c>
    </row>
    <row r="89" spans="1:8" x14ac:dyDescent="0.3">
      <c r="A89" s="14">
        <v>46154</v>
      </c>
      <c r="B89" s="15" t="s">
        <v>389</v>
      </c>
      <c r="C89" s="1" t="s">
        <v>68</v>
      </c>
      <c r="D89" s="3">
        <v>2800</v>
      </c>
      <c r="E89" t="s">
        <v>103</v>
      </c>
      <c r="F89" s="1" t="s">
        <v>46</v>
      </c>
      <c r="H89" t="s">
        <v>509</v>
      </c>
    </row>
    <row r="90" spans="1:8" x14ac:dyDescent="0.3">
      <c r="A90" s="14">
        <v>46155</v>
      </c>
      <c r="B90" s="15" t="s">
        <v>402</v>
      </c>
      <c r="C90" s="1" t="s">
        <v>28</v>
      </c>
      <c r="D90" s="3">
        <v>1800</v>
      </c>
      <c r="E90" t="s">
        <v>103</v>
      </c>
      <c r="F90" s="1" t="s">
        <v>51</v>
      </c>
    </row>
    <row r="91" spans="1:8" x14ac:dyDescent="0.3">
      <c r="A91" s="14">
        <v>46155</v>
      </c>
      <c r="B91" s="15" t="s">
        <v>402</v>
      </c>
      <c r="C91" s="1" t="s">
        <v>56</v>
      </c>
      <c r="D91" s="3">
        <v>1600</v>
      </c>
      <c r="E91" t="s">
        <v>103</v>
      </c>
      <c r="F91" s="1" t="s">
        <v>51</v>
      </c>
    </row>
    <row r="92" spans="1:8" x14ac:dyDescent="0.3">
      <c r="A92" s="14">
        <v>46155</v>
      </c>
      <c r="B92" s="15" t="s">
        <v>167</v>
      </c>
      <c r="C92" s="1" t="s">
        <v>408</v>
      </c>
      <c r="D92" s="3">
        <v>5000</v>
      </c>
      <c r="E92" t="s">
        <v>103</v>
      </c>
      <c r="F92" s="1" t="s">
        <v>51</v>
      </c>
    </row>
    <row r="93" spans="1:8" x14ac:dyDescent="0.3">
      <c r="A93" s="14">
        <v>46155</v>
      </c>
      <c r="B93" s="15" t="s">
        <v>397</v>
      </c>
      <c r="C93" s="1" t="s">
        <v>406</v>
      </c>
      <c r="D93" s="3">
        <v>2000</v>
      </c>
      <c r="E93" t="s">
        <v>103</v>
      </c>
      <c r="F93" s="1" t="s">
        <v>51</v>
      </c>
    </row>
    <row r="94" spans="1:8" x14ac:dyDescent="0.3">
      <c r="A94" s="14">
        <v>46155</v>
      </c>
      <c r="B94" s="15" t="s">
        <v>397</v>
      </c>
      <c r="C94" s="1" t="s">
        <v>412</v>
      </c>
      <c r="D94" s="3">
        <v>5800</v>
      </c>
      <c r="E94" t="s">
        <v>103</v>
      </c>
      <c r="F94" s="1" t="s">
        <v>51</v>
      </c>
    </row>
    <row r="95" spans="1:8" x14ac:dyDescent="0.3">
      <c r="A95" s="14">
        <v>46155</v>
      </c>
      <c r="B95" s="15" t="s">
        <v>403</v>
      </c>
      <c r="C95" s="1" t="s">
        <v>28</v>
      </c>
      <c r="D95" s="3">
        <v>2500</v>
      </c>
      <c r="E95" t="s">
        <v>16</v>
      </c>
    </row>
    <row r="96" spans="1:8" x14ac:dyDescent="0.3">
      <c r="A96" s="14">
        <v>46155</v>
      </c>
      <c r="B96" s="15" t="s">
        <v>404</v>
      </c>
      <c r="C96" s="1" t="s">
        <v>28</v>
      </c>
      <c r="D96" s="3">
        <v>1800</v>
      </c>
      <c r="E96" t="s">
        <v>103</v>
      </c>
      <c r="F96" s="1" t="s">
        <v>51</v>
      </c>
    </row>
    <row r="97" spans="1:10" x14ac:dyDescent="0.3">
      <c r="A97" s="14">
        <v>46155</v>
      </c>
      <c r="B97" s="15" t="s">
        <v>404</v>
      </c>
      <c r="C97" s="1" t="s">
        <v>413</v>
      </c>
      <c r="D97" s="3">
        <v>2100</v>
      </c>
      <c r="E97" t="s">
        <v>103</v>
      </c>
      <c r="F97" s="1" t="s">
        <v>51</v>
      </c>
    </row>
    <row r="98" spans="1:10" x14ac:dyDescent="0.3">
      <c r="A98" s="14">
        <v>46155</v>
      </c>
      <c r="B98" s="15" t="s">
        <v>405</v>
      </c>
      <c r="C98" s="1" t="s">
        <v>28</v>
      </c>
      <c r="D98" s="3">
        <v>1500</v>
      </c>
      <c r="E98" t="s">
        <v>16</v>
      </c>
      <c r="F98" s="1" t="s">
        <v>51</v>
      </c>
    </row>
    <row r="99" spans="1:10" x14ac:dyDescent="0.3">
      <c r="A99" s="14">
        <v>46155</v>
      </c>
      <c r="B99" s="15" t="s">
        <v>405</v>
      </c>
      <c r="C99" s="1" t="s">
        <v>24</v>
      </c>
      <c r="D99" s="3">
        <v>300</v>
      </c>
      <c r="E99" t="s">
        <v>103</v>
      </c>
    </row>
    <row r="100" spans="1:10" x14ac:dyDescent="0.3">
      <c r="A100" s="14">
        <v>46156</v>
      </c>
      <c r="B100" s="15" t="s">
        <v>415</v>
      </c>
      <c r="C100" s="1" t="s">
        <v>24</v>
      </c>
      <c r="D100" s="3">
        <v>2000</v>
      </c>
      <c r="E100" t="s">
        <v>100</v>
      </c>
      <c r="F100" s="1" t="s">
        <v>51</v>
      </c>
    </row>
    <row r="101" spans="1:10" x14ac:dyDescent="0.3">
      <c r="A101" s="14">
        <v>46156</v>
      </c>
      <c r="B101" s="15" t="s">
        <v>415</v>
      </c>
      <c r="C101" s="1" t="s">
        <v>422</v>
      </c>
      <c r="D101" s="3">
        <v>1000</v>
      </c>
      <c r="E101" t="s">
        <v>100</v>
      </c>
      <c r="F101" s="1" t="s">
        <v>51</v>
      </c>
    </row>
    <row r="102" spans="1:10" x14ac:dyDescent="0.3">
      <c r="A102" s="14">
        <v>46156</v>
      </c>
      <c r="B102" s="15" t="s">
        <v>423</v>
      </c>
      <c r="C102" s="1" t="s">
        <v>24</v>
      </c>
      <c r="D102" s="3">
        <v>1500</v>
      </c>
      <c r="E102" t="s">
        <v>100</v>
      </c>
      <c r="F102" s="1" t="s">
        <v>51</v>
      </c>
    </row>
    <row r="103" spans="1:10" x14ac:dyDescent="0.3">
      <c r="A103" s="14">
        <v>46156</v>
      </c>
      <c r="B103" s="15" t="s">
        <v>423</v>
      </c>
      <c r="D103" s="3">
        <v>500</v>
      </c>
      <c r="E103" t="s">
        <v>16</v>
      </c>
      <c r="F103" s="1" t="s">
        <v>51</v>
      </c>
    </row>
    <row r="104" spans="1:10" x14ac:dyDescent="0.3">
      <c r="A104" s="14">
        <v>46156</v>
      </c>
      <c r="B104" s="15" t="s">
        <v>416</v>
      </c>
      <c r="C104" s="1" t="s">
        <v>24</v>
      </c>
      <c r="D104" s="3">
        <v>2000</v>
      </c>
      <c r="E104" t="s">
        <v>103</v>
      </c>
      <c r="F104" s="1" t="s">
        <v>46</v>
      </c>
      <c r="J104" t="s">
        <v>430</v>
      </c>
    </row>
    <row r="105" spans="1:10" x14ac:dyDescent="0.3">
      <c r="A105" s="14">
        <v>46156</v>
      </c>
      <c r="B105" s="15" t="s">
        <v>416</v>
      </c>
      <c r="C105" s="1" t="s">
        <v>424</v>
      </c>
      <c r="D105" s="3">
        <v>3800</v>
      </c>
      <c r="E105" t="s">
        <v>103</v>
      </c>
      <c r="F105" s="1" t="s">
        <v>46</v>
      </c>
    </row>
    <row r="106" spans="1:10" x14ac:dyDescent="0.3">
      <c r="A106" s="14">
        <v>46156</v>
      </c>
      <c r="B106" s="15" t="s">
        <v>417</v>
      </c>
      <c r="C106" s="1" t="s">
        <v>59</v>
      </c>
      <c r="D106" s="3">
        <v>2000</v>
      </c>
      <c r="E106" t="s">
        <v>103</v>
      </c>
      <c r="F106" s="1" t="s">
        <v>51</v>
      </c>
    </row>
    <row r="107" spans="1:10" x14ac:dyDescent="0.3">
      <c r="A107" s="14">
        <v>46156</v>
      </c>
      <c r="B107" s="15" t="s">
        <v>418</v>
      </c>
      <c r="C107" s="1" t="s">
        <v>24</v>
      </c>
      <c r="D107" s="3">
        <v>2000</v>
      </c>
      <c r="E107" t="s">
        <v>100</v>
      </c>
      <c r="F107" s="1" t="s">
        <v>51</v>
      </c>
    </row>
    <row r="108" spans="1:10" x14ac:dyDescent="0.3">
      <c r="A108" s="14">
        <v>46156</v>
      </c>
      <c r="B108" s="15" t="s">
        <v>419</v>
      </c>
      <c r="C108" s="1" t="s">
        <v>24</v>
      </c>
      <c r="D108" s="3">
        <v>2000</v>
      </c>
      <c r="E108" t="s">
        <v>16</v>
      </c>
      <c r="F108" s="1" t="s">
        <v>51</v>
      </c>
    </row>
    <row r="109" spans="1:10" x14ac:dyDescent="0.3">
      <c r="A109" s="14">
        <v>46156</v>
      </c>
      <c r="B109" s="15" t="s">
        <v>420</v>
      </c>
      <c r="C109" s="1" t="s">
        <v>24</v>
      </c>
      <c r="D109" s="3">
        <v>2000</v>
      </c>
      <c r="E109" t="s">
        <v>103</v>
      </c>
      <c r="F109" s="1" t="s">
        <v>46</v>
      </c>
      <c r="H109" t="s">
        <v>511</v>
      </c>
    </row>
    <row r="110" spans="1:10" x14ac:dyDescent="0.3">
      <c r="A110" s="14">
        <v>46156</v>
      </c>
      <c r="B110" s="15" t="s">
        <v>420</v>
      </c>
      <c r="C110" s="1" t="s">
        <v>56</v>
      </c>
      <c r="D110" s="3">
        <v>1600</v>
      </c>
      <c r="E110" t="s">
        <v>103</v>
      </c>
      <c r="F110" s="1" t="s">
        <v>46</v>
      </c>
      <c r="H110" t="s">
        <v>511</v>
      </c>
    </row>
    <row r="111" spans="1:10" x14ac:dyDescent="0.3">
      <c r="A111" s="14">
        <v>46156</v>
      </c>
      <c r="B111" s="15" t="s">
        <v>421</v>
      </c>
      <c r="C111" s="1" t="s">
        <v>28</v>
      </c>
      <c r="D111" s="3">
        <v>2000</v>
      </c>
      <c r="E111" t="s">
        <v>16</v>
      </c>
      <c r="F111" s="1" t="s">
        <v>46</v>
      </c>
    </row>
    <row r="112" spans="1:10" x14ac:dyDescent="0.3">
      <c r="A112" s="14">
        <v>46156</v>
      </c>
      <c r="B112" s="15" t="s">
        <v>421</v>
      </c>
      <c r="C112" s="1" t="s">
        <v>429</v>
      </c>
      <c r="D112" s="3">
        <v>1000</v>
      </c>
      <c r="E112" t="s">
        <v>16</v>
      </c>
      <c r="F112" s="1" t="s">
        <v>46</v>
      </c>
    </row>
    <row r="113" spans="1:10" x14ac:dyDescent="0.3">
      <c r="A113" s="14">
        <v>46156</v>
      </c>
      <c r="B113" s="15" t="s">
        <v>421</v>
      </c>
      <c r="D113" s="3">
        <v>1000</v>
      </c>
      <c r="E113" t="s">
        <v>100</v>
      </c>
      <c r="F113" s="1" t="s">
        <v>46</v>
      </c>
    </row>
    <row r="114" spans="1:10" x14ac:dyDescent="0.3">
      <c r="A114" s="14">
        <v>46156</v>
      </c>
      <c r="B114" s="15" t="s">
        <v>215</v>
      </c>
      <c r="C114" s="1" t="s">
        <v>28</v>
      </c>
      <c r="D114" s="3">
        <v>3500</v>
      </c>
      <c r="E114" t="s">
        <v>103</v>
      </c>
      <c r="F114" s="1" t="s">
        <v>51</v>
      </c>
    </row>
    <row r="115" spans="1:10" x14ac:dyDescent="0.3">
      <c r="A115" s="14">
        <v>46157</v>
      </c>
      <c r="B115" s="15" t="s">
        <v>442</v>
      </c>
      <c r="C115" s="1" t="s">
        <v>24</v>
      </c>
      <c r="D115" s="3">
        <v>2000</v>
      </c>
      <c r="E115" t="s">
        <v>76</v>
      </c>
      <c r="F115" s="1" t="s">
        <v>46</v>
      </c>
      <c r="J115" t="s">
        <v>430</v>
      </c>
    </row>
    <row r="116" spans="1:10" x14ac:dyDescent="0.3">
      <c r="A116" s="14">
        <v>46157</v>
      </c>
      <c r="B116" s="15" t="s">
        <v>434</v>
      </c>
      <c r="C116" s="1" t="s">
        <v>24</v>
      </c>
      <c r="D116" s="3">
        <v>2000</v>
      </c>
      <c r="E116" t="s">
        <v>76</v>
      </c>
      <c r="F116" s="1" t="s">
        <v>46</v>
      </c>
      <c r="H116" t="s">
        <v>514</v>
      </c>
    </row>
    <row r="117" spans="1:10" x14ac:dyDescent="0.3">
      <c r="A117" s="14">
        <v>46157</v>
      </c>
      <c r="B117" s="15" t="s">
        <v>435</v>
      </c>
      <c r="C117" s="1" t="s">
        <v>29</v>
      </c>
      <c r="D117" s="3">
        <v>6000</v>
      </c>
      <c r="E117" t="s">
        <v>103</v>
      </c>
      <c r="F117" s="1" t="s">
        <v>46</v>
      </c>
      <c r="H117" t="s">
        <v>520</v>
      </c>
    </row>
    <row r="118" spans="1:10" x14ac:dyDescent="0.3">
      <c r="A118" s="14">
        <v>46157</v>
      </c>
      <c r="B118" s="15" t="s">
        <v>435</v>
      </c>
      <c r="C118" s="1" t="s">
        <v>75</v>
      </c>
      <c r="D118" s="3">
        <v>8000</v>
      </c>
      <c r="E118" t="s">
        <v>103</v>
      </c>
      <c r="F118" s="1" t="s">
        <v>46</v>
      </c>
      <c r="H118" t="s">
        <v>520</v>
      </c>
    </row>
    <row r="119" spans="1:10" x14ac:dyDescent="0.3">
      <c r="A119" s="14">
        <v>46158</v>
      </c>
      <c r="B119" s="15" t="s">
        <v>210</v>
      </c>
      <c r="C119" s="1" t="s">
        <v>45</v>
      </c>
      <c r="D119" s="3">
        <v>0</v>
      </c>
      <c r="E119" t="s">
        <v>102</v>
      </c>
    </row>
    <row r="120" spans="1:10" x14ac:dyDescent="0.3">
      <c r="A120" s="14">
        <v>46158</v>
      </c>
      <c r="B120" s="15" t="s">
        <v>449</v>
      </c>
      <c r="C120" s="1" t="s">
        <v>53</v>
      </c>
      <c r="D120" s="3">
        <v>2500</v>
      </c>
      <c r="E120" t="s">
        <v>103</v>
      </c>
      <c r="F120" s="1" t="s">
        <v>46</v>
      </c>
      <c r="H120" t="s">
        <v>512</v>
      </c>
    </row>
    <row r="121" spans="1:10" x14ac:dyDescent="0.3">
      <c r="A121" s="14">
        <v>46158</v>
      </c>
      <c r="B121" s="15" t="s">
        <v>150</v>
      </c>
      <c r="C121" s="1" t="s">
        <v>28</v>
      </c>
      <c r="D121" s="3">
        <v>2000</v>
      </c>
      <c r="E121" t="s">
        <v>103</v>
      </c>
      <c r="F121" s="1" t="s">
        <v>46</v>
      </c>
      <c r="H121" t="s">
        <v>583</v>
      </c>
    </row>
    <row r="122" spans="1:10" x14ac:dyDescent="0.3">
      <c r="A122" s="14">
        <v>46158</v>
      </c>
      <c r="B122" s="15" t="s">
        <v>150</v>
      </c>
      <c r="C122" s="1" t="s">
        <v>93</v>
      </c>
      <c r="D122" s="3">
        <v>1100</v>
      </c>
      <c r="E122" t="s">
        <v>103</v>
      </c>
      <c r="F122" s="1" t="s">
        <v>46</v>
      </c>
      <c r="H122" t="s">
        <v>583</v>
      </c>
    </row>
    <row r="123" spans="1:10" x14ac:dyDescent="0.3">
      <c r="A123" s="14">
        <v>46158</v>
      </c>
      <c r="B123" s="15" t="s">
        <v>450</v>
      </c>
      <c r="C123" s="1" t="s">
        <v>456</v>
      </c>
      <c r="D123" s="3">
        <v>3000</v>
      </c>
      <c r="E123" t="s">
        <v>103</v>
      </c>
      <c r="F123" s="1" t="s">
        <v>46</v>
      </c>
      <c r="H123" t="s">
        <v>513</v>
      </c>
    </row>
    <row r="124" spans="1:10" x14ac:dyDescent="0.3">
      <c r="A124" s="14">
        <v>46158</v>
      </c>
      <c r="B124" s="15" t="s">
        <v>451</v>
      </c>
      <c r="C124" s="1" t="s">
        <v>458</v>
      </c>
      <c r="D124" s="3">
        <v>6400</v>
      </c>
      <c r="E124" t="s">
        <v>103</v>
      </c>
      <c r="F124" s="1" t="s">
        <v>32</v>
      </c>
      <c r="H124" t="s">
        <v>584</v>
      </c>
    </row>
    <row r="125" spans="1:10" x14ac:dyDescent="0.3">
      <c r="A125" s="14">
        <v>46158</v>
      </c>
      <c r="B125" s="15" t="s">
        <v>451</v>
      </c>
      <c r="C125" s="1" t="s">
        <v>28</v>
      </c>
      <c r="D125" s="3">
        <v>2000</v>
      </c>
      <c r="E125" t="s">
        <v>103</v>
      </c>
      <c r="F125" s="1" t="s">
        <v>32</v>
      </c>
      <c r="H125" t="s">
        <v>584</v>
      </c>
    </row>
    <row r="126" spans="1:10" x14ac:dyDescent="0.3">
      <c r="A126" s="14">
        <v>46158</v>
      </c>
      <c r="B126" s="15" t="s">
        <v>460</v>
      </c>
      <c r="C126" s="1" t="s">
        <v>462</v>
      </c>
      <c r="D126" s="3">
        <v>3500</v>
      </c>
      <c r="E126" t="s">
        <v>103</v>
      </c>
      <c r="F126" s="1" t="s">
        <v>51</v>
      </c>
    </row>
    <row r="127" spans="1:10" x14ac:dyDescent="0.3">
      <c r="A127" s="14">
        <v>46158</v>
      </c>
      <c r="B127" s="24" t="s">
        <v>461</v>
      </c>
      <c r="C127" s="1" t="s">
        <v>28</v>
      </c>
      <c r="D127" s="3">
        <v>2000</v>
      </c>
      <c r="E127" t="s">
        <v>103</v>
      </c>
      <c r="F127" s="1" t="s">
        <v>51</v>
      </c>
    </row>
    <row r="128" spans="1:10" x14ac:dyDescent="0.3">
      <c r="A128" s="14">
        <v>46158</v>
      </c>
      <c r="B128" s="15" t="s">
        <v>452</v>
      </c>
      <c r="C128" s="1" t="s">
        <v>65</v>
      </c>
      <c r="D128" s="3">
        <v>2000</v>
      </c>
      <c r="E128" t="s">
        <v>103</v>
      </c>
      <c r="F128" s="1" t="s">
        <v>46</v>
      </c>
      <c r="J128" t="s">
        <v>505</v>
      </c>
    </row>
    <row r="129" spans="1:8" x14ac:dyDescent="0.3">
      <c r="A129" s="14">
        <v>46158</v>
      </c>
      <c r="B129" s="15" t="s">
        <v>455</v>
      </c>
      <c r="C129" s="1" t="s">
        <v>39</v>
      </c>
      <c r="D129" s="3">
        <v>2500</v>
      </c>
      <c r="E129" t="s">
        <v>103</v>
      </c>
      <c r="F129" s="1" t="s">
        <v>51</v>
      </c>
    </row>
    <row r="130" spans="1:8" x14ac:dyDescent="0.3">
      <c r="A130" s="14">
        <v>46158</v>
      </c>
      <c r="B130" s="15" t="s">
        <v>455</v>
      </c>
      <c r="C130" s="1" t="s">
        <v>24</v>
      </c>
      <c r="D130" s="3">
        <v>2000</v>
      </c>
      <c r="E130" t="s">
        <v>103</v>
      </c>
      <c r="F130" s="1" t="s">
        <v>51</v>
      </c>
    </row>
    <row r="131" spans="1:8" x14ac:dyDescent="0.3">
      <c r="A131" s="14">
        <v>46158</v>
      </c>
      <c r="B131" s="15" t="s">
        <v>455</v>
      </c>
      <c r="C131" s="1" t="s">
        <v>463</v>
      </c>
      <c r="D131" s="3">
        <v>12900</v>
      </c>
      <c r="E131" t="s">
        <v>103</v>
      </c>
      <c r="F131" s="1" t="s">
        <v>51</v>
      </c>
    </row>
    <row r="132" spans="1:8" x14ac:dyDescent="0.3">
      <c r="A132" s="14">
        <v>46158</v>
      </c>
      <c r="B132" s="15" t="s">
        <v>453</v>
      </c>
      <c r="C132" s="1" t="s">
        <v>464</v>
      </c>
      <c r="D132" s="3">
        <v>17900</v>
      </c>
      <c r="E132" t="s">
        <v>103</v>
      </c>
      <c r="F132" s="1" t="s">
        <v>51</v>
      </c>
    </row>
    <row r="133" spans="1:8" x14ac:dyDescent="0.3">
      <c r="A133" s="14">
        <v>46158</v>
      </c>
      <c r="B133" s="15" t="s">
        <v>453</v>
      </c>
      <c r="C133" s="1" t="s">
        <v>39</v>
      </c>
      <c r="D133" s="3">
        <v>2500</v>
      </c>
      <c r="E133" t="s">
        <v>103</v>
      </c>
      <c r="F133" s="1" t="s">
        <v>51</v>
      </c>
    </row>
    <row r="134" spans="1:8" x14ac:dyDescent="0.3">
      <c r="A134" s="14">
        <v>46158</v>
      </c>
      <c r="B134" s="15" t="s">
        <v>453</v>
      </c>
      <c r="C134" s="1" t="s">
        <v>28</v>
      </c>
      <c r="D134" s="3">
        <v>1800</v>
      </c>
      <c r="E134" t="s">
        <v>103</v>
      </c>
      <c r="F134" s="1" t="s">
        <v>51</v>
      </c>
    </row>
    <row r="135" spans="1:8" x14ac:dyDescent="0.3">
      <c r="A135" s="14">
        <v>46158</v>
      </c>
      <c r="B135" s="15" t="s">
        <v>454</v>
      </c>
      <c r="C135" s="1" t="s">
        <v>24</v>
      </c>
      <c r="D135" s="3">
        <v>2000</v>
      </c>
      <c r="E135" t="s">
        <v>103</v>
      </c>
      <c r="F135" s="1" t="s">
        <v>51</v>
      </c>
    </row>
    <row r="136" spans="1:8" x14ac:dyDescent="0.3">
      <c r="A136" s="14">
        <v>46160</v>
      </c>
      <c r="B136" s="15" t="s">
        <v>423</v>
      </c>
      <c r="C136" s="1" t="s">
        <v>42</v>
      </c>
      <c r="D136" s="3">
        <v>2800</v>
      </c>
      <c r="E136" t="s">
        <v>100</v>
      </c>
      <c r="F136" s="1" t="s">
        <v>51</v>
      </c>
    </row>
    <row r="137" spans="1:8" x14ac:dyDescent="0.3">
      <c r="A137" s="14">
        <v>46160</v>
      </c>
      <c r="B137" s="15" t="s">
        <v>468</v>
      </c>
      <c r="C137" s="1" t="s">
        <v>24</v>
      </c>
      <c r="D137" s="3">
        <v>2000</v>
      </c>
      <c r="E137" t="s">
        <v>100</v>
      </c>
      <c r="F137" s="1" t="s">
        <v>46</v>
      </c>
      <c r="H137" t="s">
        <v>585</v>
      </c>
    </row>
    <row r="138" spans="1:8" x14ac:dyDescent="0.3">
      <c r="A138" s="14">
        <v>46160</v>
      </c>
      <c r="B138" s="15" t="s">
        <v>469</v>
      </c>
      <c r="C138" s="1" t="s">
        <v>24</v>
      </c>
      <c r="D138" s="3">
        <v>2000</v>
      </c>
      <c r="E138" t="s">
        <v>103</v>
      </c>
      <c r="F138" s="1" t="s">
        <v>46</v>
      </c>
      <c r="H138" t="s">
        <v>586</v>
      </c>
    </row>
    <row r="139" spans="1:8" x14ac:dyDescent="0.3">
      <c r="A139" s="14">
        <v>46160</v>
      </c>
      <c r="B139" s="15" t="s">
        <v>469</v>
      </c>
      <c r="C139" s="1" t="s">
        <v>475</v>
      </c>
      <c r="D139" s="3">
        <v>1000</v>
      </c>
      <c r="E139" t="s">
        <v>103</v>
      </c>
      <c r="F139" s="1" t="s">
        <v>46</v>
      </c>
      <c r="H139" t="s">
        <v>586</v>
      </c>
    </row>
    <row r="140" spans="1:8" x14ac:dyDescent="0.3">
      <c r="A140" s="14">
        <v>46160</v>
      </c>
      <c r="B140" s="15" t="s">
        <v>470</v>
      </c>
      <c r="D140" s="3">
        <v>2000</v>
      </c>
      <c r="E140" t="s">
        <v>103</v>
      </c>
      <c r="F140" s="1" t="s">
        <v>51</v>
      </c>
    </row>
    <row r="141" spans="1:8" x14ac:dyDescent="0.3">
      <c r="A141" s="14">
        <v>46160</v>
      </c>
      <c r="B141" s="39" t="s">
        <v>471</v>
      </c>
      <c r="D141" s="3">
        <v>2800</v>
      </c>
      <c r="E141" t="s">
        <v>103</v>
      </c>
      <c r="F141" s="1" t="s">
        <v>51</v>
      </c>
    </row>
    <row r="142" spans="1:8" x14ac:dyDescent="0.3">
      <c r="A142" s="14">
        <v>46160</v>
      </c>
      <c r="B142" s="39" t="s">
        <v>474</v>
      </c>
      <c r="C142" s="1" t="s">
        <v>29</v>
      </c>
      <c r="D142" s="3">
        <v>6000</v>
      </c>
      <c r="E142" t="s">
        <v>103</v>
      </c>
      <c r="F142" s="1" t="s">
        <v>51</v>
      </c>
    </row>
    <row r="143" spans="1:8" x14ac:dyDescent="0.3">
      <c r="A143" s="14">
        <v>46160</v>
      </c>
      <c r="B143" s="15" t="s">
        <v>472</v>
      </c>
      <c r="C143" s="1" t="s">
        <v>335</v>
      </c>
      <c r="D143" s="3">
        <v>1500</v>
      </c>
      <c r="E143" t="s">
        <v>103</v>
      </c>
      <c r="F143" s="1" t="s">
        <v>51</v>
      </c>
    </row>
    <row r="144" spans="1:8" x14ac:dyDescent="0.3">
      <c r="A144" s="14">
        <v>46160</v>
      </c>
      <c r="B144" s="15" t="s">
        <v>473</v>
      </c>
      <c r="C144" s="1" t="s">
        <v>24</v>
      </c>
      <c r="D144" s="3">
        <v>2000</v>
      </c>
      <c r="E144" t="s">
        <v>103</v>
      </c>
      <c r="F144" s="1" t="s">
        <v>51</v>
      </c>
    </row>
    <row r="145" spans="1:8" x14ac:dyDescent="0.3">
      <c r="A145" s="14">
        <v>46160</v>
      </c>
      <c r="B145" s="15" t="s">
        <v>473</v>
      </c>
      <c r="C145" s="1" t="s">
        <v>477</v>
      </c>
      <c r="D145" s="3">
        <v>2100</v>
      </c>
      <c r="E145" t="s">
        <v>103</v>
      </c>
      <c r="F145" s="1" t="s">
        <v>51</v>
      </c>
    </row>
    <row r="146" spans="1:8" x14ac:dyDescent="0.3">
      <c r="A146" s="14">
        <v>46161</v>
      </c>
      <c r="B146" s="15" t="s">
        <v>479</v>
      </c>
      <c r="C146" s="1" t="s">
        <v>24</v>
      </c>
      <c r="D146" s="3">
        <v>2000</v>
      </c>
      <c r="E146" t="s">
        <v>16</v>
      </c>
      <c r="F146" s="1" t="s">
        <v>51</v>
      </c>
    </row>
    <row r="147" spans="1:8" x14ac:dyDescent="0.3">
      <c r="A147" s="14">
        <v>46161</v>
      </c>
      <c r="B147" s="15" t="s">
        <v>479</v>
      </c>
      <c r="C147" s="1" t="s">
        <v>390</v>
      </c>
      <c r="D147" s="3">
        <v>2800</v>
      </c>
      <c r="E147" t="s">
        <v>16</v>
      </c>
      <c r="F147" s="1" t="s">
        <v>51</v>
      </c>
    </row>
    <row r="148" spans="1:8" x14ac:dyDescent="0.3">
      <c r="A148" s="14">
        <v>46161</v>
      </c>
      <c r="B148" s="15" t="s">
        <v>481</v>
      </c>
      <c r="C148" s="1" t="s">
        <v>28</v>
      </c>
      <c r="D148" s="3">
        <v>2000</v>
      </c>
      <c r="E148" t="s">
        <v>16</v>
      </c>
      <c r="F148" s="1" t="s">
        <v>51</v>
      </c>
    </row>
    <row r="149" spans="1:8" x14ac:dyDescent="0.3">
      <c r="A149" s="14">
        <v>46161</v>
      </c>
      <c r="B149" s="15" t="s">
        <v>481</v>
      </c>
      <c r="C149" s="1" t="s">
        <v>475</v>
      </c>
      <c r="D149" s="3">
        <v>1000</v>
      </c>
      <c r="E149" t="s">
        <v>103</v>
      </c>
      <c r="F149" s="1" t="s">
        <v>51</v>
      </c>
    </row>
    <row r="150" spans="1:8" x14ac:dyDescent="0.3">
      <c r="A150" s="14">
        <v>46161</v>
      </c>
      <c r="B150" s="15" t="s">
        <v>169</v>
      </c>
      <c r="C150" s="1" t="s">
        <v>28</v>
      </c>
      <c r="D150" s="3">
        <v>2000</v>
      </c>
      <c r="E150" t="s">
        <v>103</v>
      </c>
      <c r="F150" s="1" t="s">
        <v>51</v>
      </c>
    </row>
    <row r="151" spans="1:8" x14ac:dyDescent="0.3">
      <c r="A151" s="14">
        <v>46161</v>
      </c>
      <c r="B151" s="15" t="s">
        <v>169</v>
      </c>
      <c r="C151" s="1" t="s">
        <v>487</v>
      </c>
      <c r="D151" s="3">
        <v>4800</v>
      </c>
      <c r="E151" t="s">
        <v>103</v>
      </c>
      <c r="F151" s="1" t="s">
        <v>51</v>
      </c>
    </row>
    <row r="152" spans="1:8" x14ac:dyDescent="0.3">
      <c r="A152" s="14">
        <v>46161</v>
      </c>
      <c r="B152" s="15" t="s">
        <v>482</v>
      </c>
      <c r="C152" s="1" t="s">
        <v>24</v>
      </c>
      <c r="D152" s="3">
        <v>2000</v>
      </c>
      <c r="E152" t="s">
        <v>16</v>
      </c>
      <c r="F152" s="1" t="s">
        <v>51</v>
      </c>
    </row>
    <row r="153" spans="1:8" x14ac:dyDescent="0.3">
      <c r="A153" s="14">
        <v>46161</v>
      </c>
      <c r="B153" s="15" t="s">
        <v>483</v>
      </c>
      <c r="C153" s="1" t="s">
        <v>24</v>
      </c>
      <c r="D153" s="3">
        <v>2000</v>
      </c>
      <c r="E153" t="s">
        <v>103</v>
      </c>
      <c r="F153" s="1" t="s">
        <v>46</v>
      </c>
      <c r="H153" t="s">
        <v>587</v>
      </c>
    </row>
    <row r="154" spans="1:8" x14ac:dyDescent="0.3">
      <c r="A154" s="14">
        <v>46161</v>
      </c>
      <c r="B154" s="15" t="s">
        <v>483</v>
      </c>
      <c r="C154" s="1" t="s">
        <v>489</v>
      </c>
      <c r="D154" s="3">
        <v>3100</v>
      </c>
      <c r="E154" t="s">
        <v>103</v>
      </c>
      <c r="F154" s="1" t="s">
        <v>46</v>
      </c>
      <c r="H154" t="s">
        <v>587</v>
      </c>
    </row>
    <row r="155" spans="1:8" x14ac:dyDescent="0.3">
      <c r="A155" s="14">
        <v>46161</v>
      </c>
      <c r="B155" s="15" t="s">
        <v>47</v>
      </c>
      <c r="C155" s="1" t="s">
        <v>126</v>
      </c>
      <c r="D155" s="3">
        <v>1600</v>
      </c>
      <c r="E155" t="s">
        <v>16</v>
      </c>
      <c r="F155" s="1" t="s">
        <v>64</v>
      </c>
    </row>
    <row r="156" spans="1:8" x14ac:dyDescent="0.3">
      <c r="A156" s="14">
        <v>46161</v>
      </c>
      <c r="B156" s="15" t="s">
        <v>486</v>
      </c>
      <c r="C156" s="1" t="s">
        <v>69</v>
      </c>
      <c r="D156" s="3">
        <v>1000</v>
      </c>
      <c r="E156" t="s">
        <v>103</v>
      </c>
      <c r="F156" s="1" t="s">
        <v>51</v>
      </c>
    </row>
    <row r="157" spans="1:8" x14ac:dyDescent="0.3">
      <c r="A157" s="14">
        <v>46162</v>
      </c>
      <c r="B157" s="15" t="s">
        <v>501</v>
      </c>
      <c r="C157" s="1" t="s">
        <v>28</v>
      </c>
      <c r="D157" s="3">
        <v>0</v>
      </c>
      <c r="E157" t="s">
        <v>102</v>
      </c>
      <c r="F157" s="1" t="s">
        <v>51</v>
      </c>
    </row>
    <row r="158" spans="1:8" x14ac:dyDescent="0.3">
      <c r="A158" s="14">
        <v>46162</v>
      </c>
      <c r="B158" s="15" t="s">
        <v>502</v>
      </c>
      <c r="C158" s="1" t="s">
        <v>24</v>
      </c>
      <c r="D158" s="3">
        <v>2000</v>
      </c>
      <c r="E158" t="s">
        <v>16</v>
      </c>
      <c r="F158" s="1" t="s">
        <v>51</v>
      </c>
    </row>
    <row r="159" spans="1:8" x14ac:dyDescent="0.3">
      <c r="A159" s="14">
        <v>46162</v>
      </c>
      <c r="B159" s="15" t="s">
        <v>502</v>
      </c>
      <c r="C159" s="1" t="s">
        <v>522</v>
      </c>
      <c r="D159" s="3">
        <v>2100</v>
      </c>
      <c r="E159" t="s">
        <v>16</v>
      </c>
      <c r="F159" s="1" t="s">
        <v>51</v>
      </c>
    </row>
    <row r="160" spans="1:8" x14ac:dyDescent="0.3">
      <c r="A160" s="14">
        <v>46162</v>
      </c>
      <c r="B160" s="15" t="s">
        <v>145</v>
      </c>
      <c r="C160" s="1" t="s">
        <v>65</v>
      </c>
      <c r="D160" s="3">
        <v>2500</v>
      </c>
      <c r="E160" t="s">
        <v>100</v>
      </c>
      <c r="F160" s="1" t="s">
        <v>51</v>
      </c>
    </row>
    <row r="161" spans="1:8" x14ac:dyDescent="0.3">
      <c r="A161" s="14">
        <v>46162</v>
      </c>
      <c r="B161" s="15" t="s">
        <v>503</v>
      </c>
      <c r="C161" s="1" t="s">
        <v>28</v>
      </c>
      <c r="D161" s="3">
        <v>6000</v>
      </c>
      <c r="E161" t="s">
        <v>100</v>
      </c>
      <c r="F161" s="1" t="s">
        <v>46</v>
      </c>
      <c r="H161" t="s">
        <v>645</v>
      </c>
    </row>
    <row r="162" spans="1:8" x14ac:dyDescent="0.3">
      <c r="A162" s="14"/>
      <c r="D162" s="3"/>
    </row>
    <row r="163" spans="1:8" x14ac:dyDescent="0.3">
      <c r="A163" s="14"/>
      <c r="D163" s="3"/>
    </row>
    <row r="164" spans="1:8" x14ac:dyDescent="0.3">
      <c r="A164" s="14">
        <v>46162</v>
      </c>
      <c r="B164" s="15" t="s">
        <v>524</v>
      </c>
      <c r="C164" s="1" t="s">
        <v>335</v>
      </c>
      <c r="D164" s="3">
        <v>2000</v>
      </c>
      <c r="E164" t="s">
        <v>100</v>
      </c>
      <c r="F164" s="1" t="s">
        <v>46</v>
      </c>
      <c r="H164" t="s">
        <v>646</v>
      </c>
    </row>
    <row r="165" spans="1:8" x14ac:dyDescent="0.3">
      <c r="A165" s="14">
        <v>46163</v>
      </c>
      <c r="B165" s="15" t="s">
        <v>526</v>
      </c>
      <c r="C165" s="1" t="s">
        <v>71</v>
      </c>
      <c r="D165" s="3">
        <v>7000</v>
      </c>
      <c r="E165" t="s">
        <v>16</v>
      </c>
      <c r="F165" s="1" t="s">
        <v>51</v>
      </c>
    </row>
    <row r="166" spans="1:8" x14ac:dyDescent="0.3">
      <c r="A166" s="14">
        <v>46163</v>
      </c>
      <c r="B166" s="15" t="s">
        <v>526</v>
      </c>
      <c r="C166" s="1" t="s">
        <v>529</v>
      </c>
      <c r="D166" s="3">
        <v>2500</v>
      </c>
      <c r="E166" t="s">
        <v>16</v>
      </c>
      <c r="F166" s="1" t="s">
        <v>51</v>
      </c>
    </row>
    <row r="167" spans="1:8" x14ac:dyDescent="0.3">
      <c r="A167" s="14">
        <v>46163</v>
      </c>
      <c r="B167" s="15" t="s">
        <v>526</v>
      </c>
      <c r="C167" s="1" t="s">
        <v>87</v>
      </c>
      <c r="D167" s="3">
        <v>2000</v>
      </c>
      <c r="E167" t="s">
        <v>16</v>
      </c>
      <c r="F167" s="1" t="s">
        <v>51</v>
      </c>
    </row>
    <row r="168" spans="1:8" x14ac:dyDescent="0.3">
      <c r="A168" s="14">
        <v>46163</v>
      </c>
      <c r="B168" s="15" t="s">
        <v>527</v>
      </c>
      <c r="C168" s="1" t="s">
        <v>28</v>
      </c>
      <c r="D168" s="3">
        <v>1800</v>
      </c>
      <c r="E168" t="s">
        <v>16</v>
      </c>
      <c r="F168" s="1" t="s">
        <v>51</v>
      </c>
    </row>
    <row r="169" spans="1:8" x14ac:dyDescent="0.3">
      <c r="A169" s="14">
        <v>46163</v>
      </c>
      <c r="B169" s="15" t="s">
        <v>528</v>
      </c>
      <c r="C169" s="1" t="s">
        <v>24</v>
      </c>
      <c r="D169" s="3">
        <v>2000</v>
      </c>
      <c r="E169" t="s">
        <v>16</v>
      </c>
      <c r="F169" s="1" t="s">
        <v>51</v>
      </c>
    </row>
    <row r="170" spans="1:8" x14ac:dyDescent="0.3">
      <c r="A170" s="14">
        <v>46163</v>
      </c>
      <c r="B170" s="15" t="s">
        <v>530</v>
      </c>
      <c r="C170" s="1" t="s">
        <v>87</v>
      </c>
      <c r="D170" s="3">
        <v>2000</v>
      </c>
      <c r="E170" t="s">
        <v>16</v>
      </c>
      <c r="F170" s="1" t="s">
        <v>51</v>
      </c>
    </row>
    <row r="171" spans="1:8" x14ac:dyDescent="0.3">
      <c r="A171" s="14">
        <v>46163</v>
      </c>
      <c r="B171" s="15" t="s">
        <v>48</v>
      </c>
      <c r="C171" s="1" t="s">
        <v>532</v>
      </c>
      <c r="D171" s="3">
        <v>2100</v>
      </c>
      <c r="E171" t="s">
        <v>103</v>
      </c>
      <c r="F171" s="1" t="s">
        <v>46</v>
      </c>
      <c r="H171" t="s">
        <v>647</v>
      </c>
    </row>
    <row r="172" spans="1:8" x14ac:dyDescent="0.3">
      <c r="A172" s="14">
        <v>46163</v>
      </c>
      <c r="B172" s="15" t="s">
        <v>533</v>
      </c>
      <c r="C172" s="1" t="s">
        <v>107</v>
      </c>
      <c r="D172" s="3">
        <v>1100</v>
      </c>
      <c r="E172" t="s">
        <v>103</v>
      </c>
      <c r="F172" s="1" t="s">
        <v>51</v>
      </c>
    </row>
    <row r="173" spans="1:8" x14ac:dyDescent="0.3">
      <c r="A173" s="14">
        <v>46163</v>
      </c>
      <c r="B173" s="15" t="s">
        <v>144</v>
      </c>
      <c r="C173" s="1" t="s">
        <v>56</v>
      </c>
      <c r="D173" s="3">
        <v>1500</v>
      </c>
      <c r="E173" t="s">
        <v>16</v>
      </c>
      <c r="F173" s="1" t="s">
        <v>51</v>
      </c>
    </row>
    <row r="174" spans="1:8" x14ac:dyDescent="0.3">
      <c r="A174" s="14">
        <v>46163</v>
      </c>
      <c r="B174" s="15" t="s">
        <v>144</v>
      </c>
      <c r="D174" s="3">
        <v>100</v>
      </c>
      <c r="E174" t="s">
        <v>17</v>
      </c>
      <c r="F174" s="1" t="s">
        <v>51</v>
      </c>
    </row>
    <row r="175" spans="1:8" x14ac:dyDescent="0.3">
      <c r="A175" s="14">
        <v>46164</v>
      </c>
      <c r="B175" s="15" t="s">
        <v>552</v>
      </c>
      <c r="C175" s="1" t="s">
        <v>553</v>
      </c>
      <c r="D175" s="3">
        <v>7000</v>
      </c>
      <c r="E175" t="s">
        <v>16</v>
      </c>
      <c r="F175" s="1" t="s">
        <v>46</v>
      </c>
      <c r="H175" t="s">
        <v>648</v>
      </c>
    </row>
    <row r="176" spans="1:8" x14ac:dyDescent="0.3">
      <c r="A176" s="14">
        <v>46164</v>
      </c>
      <c r="B176" s="15" t="s">
        <v>552</v>
      </c>
      <c r="C176" s="1" t="s">
        <v>80</v>
      </c>
      <c r="D176" s="3">
        <v>3000</v>
      </c>
      <c r="E176" t="s">
        <v>16</v>
      </c>
      <c r="F176" s="1" t="s">
        <v>46</v>
      </c>
      <c r="H176" t="s">
        <v>648</v>
      </c>
    </row>
    <row r="177" spans="1:10" x14ac:dyDescent="0.3">
      <c r="A177" s="14">
        <v>46164</v>
      </c>
      <c r="B177" s="15" t="s">
        <v>541</v>
      </c>
      <c r="C177" s="1" t="s">
        <v>28</v>
      </c>
      <c r="D177" s="3">
        <v>2000</v>
      </c>
      <c r="E177" t="s">
        <v>103</v>
      </c>
      <c r="F177" s="1" t="s">
        <v>46</v>
      </c>
    </row>
    <row r="178" spans="1:10" x14ac:dyDescent="0.3">
      <c r="A178" s="14">
        <v>46164</v>
      </c>
      <c r="B178" s="15" t="s">
        <v>542</v>
      </c>
      <c r="C178" s="1" t="s">
        <v>35</v>
      </c>
      <c r="D178" s="3">
        <v>6000</v>
      </c>
      <c r="E178" t="s">
        <v>103</v>
      </c>
      <c r="F178" s="1" t="s">
        <v>46</v>
      </c>
    </row>
    <row r="179" spans="1:10" x14ac:dyDescent="0.3">
      <c r="A179" s="14">
        <v>46164</v>
      </c>
      <c r="B179" s="15" t="s">
        <v>357</v>
      </c>
      <c r="C179" s="1" t="s">
        <v>53</v>
      </c>
      <c r="D179" s="3">
        <v>3500</v>
      </c>
      <c r="E179" t="s">
        <v>103</v>
      </c>
      <c r="F179" s="1" t="s">
        <v>51</v>
      </c>
    </row>
    <row r="180" spans="1:10" x14ac:dyDescent="0.3">
      <c r="A180" s="14">
        <v>46164</v>
      </c>
      <c r="B180" s="15" t="s">
        <v>543</v>
      </c>
      <c r="C180" s="1" t="s">
        <v>24</v>
      </c>
      <c r="D180" s="3">
        <v>2000</v>
      </c>
      <c r="E180" t="s">
        <v>103</v>
      </c>
      <c r="F180" s="1" t="s">
        <v>51</v>
      </c>
    </row>
    <row r="181" spans="1:10" x14ac:dyDescent="0.3">
      <c r="A181" s="14">
        <v>46164</v>
      </c>
      <c r="B181" s="15" t="s">
        <v>544</v>
      </c>
      <c r="C181" s="1" t="s">
        <v>35</v>
      </c>
      <c r="D181" s="3">
        <v>6000</v>
      </c>
      <c r="E181" t="s">
        <v>76</v>
      </c>
      <c r="F181" s="1" t="s">
        <v>46</v>
      </c>
    </row>
    <row r="182" spans="1:10" x14ac:dyDescent="0.3">
      <c r="A182" s="14">
        <v>46164</v>
      </c>
      <c r="B182" s="15" t="s">
        <v>330</v>
      </c>
      <c r="C182" s="1" t="s">
        <v>104</v>
      </c>
      <c r="D182" s="3">
        <v>0</v>
      </c>
      <c r="E182" t="s">
        <v>102</v>
      </c>
    </row>
    <row r="183" spans="1:10" x14ac:dyDescent="0.3">
      <c r="A183" s="14">
        <v>46164</v>
      </c>
      <c r="B183" s="15" t="s">
        <v>545</v>
      </c>
      <c r="C183" s="1" t="s">
        <v>28</v>
      </c>
      <c r="D183" s="3">
        <v>3000</v>
      </c>
      <c r="E183" t="s">
        <v>76</v>
      </c>
      <c r="F183" s="1" t="s">
        <v>46</v>
      </c>
    </row>
    <row r="184" spans="1:10" x14ac:dyDescent="0.3">
      <c r="A184" s="14">
        <v>46165</v>
      </c>
      <c r="B184" s="15" t="s">
        <v>359</v>
      </c>
      <c r="C184" s="1" t="s">
        <v>45</v>
      </c>
      <c r="D184" s="3">
        <v>0</v>
      </c>
      <c r="E184" t="s">
        <v>102</v>
      </c>
    </row>
    <row r="185" spans="1:10" x14ac:dyDescent="0.3">
      <c r="A185" s="14">
        <v>46165</v>
      </c>
      <c r="B185" s="15" t="s">
        <v>566</v>
      </c>
      <c r="C185" s="1" t="s">
        <v>570</v>
      </c>
      <c r="D185" s="3">
        <v>5500</v>
      </c>
      <c r="E185" t="s">
        <v>100</v>
      </c>
      <c r="F185" s="1" t="s">
        <v>46</v>
      </c>
      <c r="J185" t="s">
        <v>571</v>
      </c>
    </row>
    <row r="186" spans="1:10" x14ac:dyDescent="0.3">
      <c r="A186" s="14">
        <v>46165</v>
      </c>
      <c r="B186" s="15" t="s">
        <v>567</v>
      </c>
      <c r="C186" s="1" t="s">
        <v>29</v>
      </c>
      <c r="D186" s="3">
        <v>10000</v>
      </c>
      <c r="E186" t="s">
        <v>100</v>
      </c>
      <c r="F186" s="1" t="s">
        <v>46</v>
      </c>
    </row>
    <row r="187" spans="1:10" x14ac:dyDescent="0.3">
      <c r="A187" s="14">
        <v>46165</v>
      </c>
      <c r="B187" s="15" t="s">
        <v>568</v>
      </c>
      <c r="C187" s="1" t="s">
        <v>29</v>
      </c>
      <c r="D187" s="3">
        <v>6000</v>
      </c>
      <c r="E187" t="s">
        <v>103</v>
      </c>
      <c r="F187" s="1" t="s">
        <v>46</v>
      </c>
    </row>
    <row r="188" spans="1:10" x14ac:dyDescent="0.3">
      <c r="A188" s="14">
        <v>46165</v>
      </c>
      <c r="B188" s="15" t="s">
        <v>568</v>
      </c>
      <c r="C188" s="1" t="s">
        <v>422</v>
      </c>
      <c r="D188" s="3">
        <v>1000</v>
      </c>
      <c r="E188" t="s">
        <v>103</v>
      </c>
      <c r="F188" s="1" t="s">
        <v>46</v>
      </c>
    </row>
    <row r="189" spans="1:10" x14ac:dyDescent="0.3">
      <c r="A189" s="14">
        <v>46165</v>
      </c>
      <c r="B189" s="15" t="s">
        <v>572</v>
      </c>
      <c r="C189" s="1" t="s">
        <v>24</v>
      </c>
      <c r="D189" s="3">
        <v>2000</v>
      </c>
      <c r="E189" t="s">
        <v>103</v>
      </c>
      <c r="F189" s="1" t="s">
        <v>46</v>
      </c>
    </row>
    <row r="190" spans="1:10" x14ac:dyDescent="0.3">
      <c r="A190" s="14">
        <v>46165</v>
      </c>
      <c r="B190" s="15" t="s">
        <v>193</v>
      </c>
      <c r="C190" s="1" t="s">
        <v>45</v>
      </c>
      <c r="D190" s="3">
        <v>0</v>
      </c>
      <c r="E190" t="s">
        <v>102</v>
      </c>
    </row>
    <row r="191" spans="1:10" x14ac:dyDescent="0.3">
      <c r="A191" s="14">
        <v>46168</v>
      </c>
      <c r="B191" s="15" t="s">
        <v>592</v>
      </c>
      <c r="C191" s="1" t="s">
        <v>28</v>
      </c>
      <c r="D191" s="3">
        <v>1800</v>
      </c>
      <c r="E191" t="s">
        <v>103</v>
      </c>
      <c r="F191" s="1" t="s">
        <v>46</v>
      </c>
    </row>
    <row r="192" spans="1:10" x14ac:dyDescent="0.3">
      <c r="A192" s="14">
        <v>46168</v>
      </c>
      <c r="B192" s="15" t="s">
        <v>593</v>
      </c>
      <c r="C192" s="1" t="s">
        <v>28</v>
      </c>
      <c r="D192" s="3">
        <v>1800</v>
      </c>
      <c r="E192" t="s">
        <v>16</v>
      </c>
      <c r="F192" s="1" t="s">
        <v>51</v>
      </c>
    </row>
    <row r="193" spans="1:10" x14ac:dyDescent="0.3">
      <c r="A193" s="14">
        <v>46168</v>
      </c>
      <c r="B193" s="15" t="s">
        <v>593</v>
      </c>
      <c r="C193" s="1" t="s">
        <v>143</v>
      </c>
      <c r="D193" s="3">
        <v>2800</v>
      </c>
      <c r="E193" t="s">
        <v>16</v>
      </c>
      <c r="F193" s="1" t="s">
        <v>51</v>
      </c>
    </row>
    <row r="194" spans="1:10" x14ac:dyDescent="0.3">
      <c r="A194" s="14">
        <v>46168</v>
      </c>
      <c r="B194" s="15" t="s">
        <v>594</v>
      </c>
      <c r="C194" s="1" t="s">
        <v>28</v>
      </c>
      <c r="D194" s="3">
        <v>0</v>
      </c>
      <c r="E194" t="s">
        <v>102</v>
      </c>
      <c r="F194" s="1" t="s">
        <v>51</v>
      </c>
    </row>
    <row r="195" spans="1:10" x14ac:dyDescent="0.3">
      <c r="A195" s="14">
        <v>46168</v>
      </c>
      <c r="B195" s="15" t="s">
        <v>140</v>
      </c>
      <c r="C195" s="1" t="s">
        <v>606</v>
      </c>
      <c r="D195" s="3">
        <v>7500</v>
      </c>
      <c r="E195" t="s">
        <v>100</v>
      </c>
      <c r="F195" s="1" t="s">
        <v>46</v>
      </c>
    </row>
    <row r="196" spans="1:10" x14ac:dyDescent="0.3">
      <c r="A196" s="14">
        <v>46168</v>
      </c>
      <c r="B196" s="15" t="s">
        <v>595</v>
      </c>
      <c r="C196" s="1" t="s">
        <v>65</v>
      </c>
      <c r="D196" s="3">
        <v>2500</v>
      </c>
      <c r="E196" t="s">
        <v>103</v>
      </c>
      <c r="F196" s="1" t="s">
        <v>51</v>
      </c>
    </row>
    <row r="197" spans="1:10" x14ac:dyDescent="0.3">
      <c r="A197" s="14">
        <v>46168</v>
      </c>
      <c r="B197" s="15" t="s">
        <v>88</v>
      </c>
      <c r="C197" s="1" t="s">
        <v>28</v>
      </c>
      <c r="D197" s="3">
        <v>2000</v>
      </c>
      <c r="E197" t="s">
        <v>103</v>
      </c>
      <c r="F197" s="1" t="s">
        <v>46</v>
      </c>
    </row>
    <row r="198" spans="1:10" x14ac:dyDescent="0.3">
      <c r="A198" s="14">
        <v>46168</v>
      </c>
      <c r="B198" s="15" t="s">
        <v>88</v>
      </c>
      <c r="C198" s="1" t="s">
        <v>422</v>
      </c>
      <c r="D198" s="3">
        <v>1000</v>
      </c>
      <c r="E198" t="s">
        <v>103</v>
      </c>
      <c r="F198" s="1" t="s">
        <v>146</v>
      </c>
    </row>
    <row r="199" spans="1:10" x14ac:dyDescent="0.3">
      <c r="A199" s="14">
        <v>46168</v>
      </c>
      <c r="B199" s="15" t="s">
        <v>596</v>
      </c>
      <c r="C199" s="1" t="s">
        <v>28</v>
      </c>
      <c r="D199" s="3">
        <v>2000</v>
      </c>
      <c r="E199" t="s">
        <v>103</v>
      </c>
      <c r="F199" s="1" t="s">
        <v>46</v>
      </c>
    </row>
    <row r="200" spans="1:10" x14ac:dyDescent="0.3">
      <c r="A200" s="14">
        <v>46168</v>
      </c>
      <c r="B200" s="15" t="s">
        <v>596</v>
      </c>
      <c r="C200" s="1" t="s">
        <v>608</v>
      </c>
      <c r="D200" s="3">
        <v>6400</v>
      </c>
      <c r="E200" t="s">
        <v>103</v>
      </c>
      <c r="F200" s="1" t="s">
        <v>46</v>
      </c>
    </row>
    <row r="201" spans="1:10" x14ac:dyDescent="0.3">
      <c r="A201" s="14">
        <v>46168</v>
      </c>
      <c r="B201" s="15" t="s">
        <v>607</v>
      </c>
      <c r="C201" s="1" t="s">
        <v>87</v>
      </c>
      <c r="D201" s="3">
        <v>2000</v>
      </c>
      <c r="E201" t="s">
        <v>17</v>
      </c>
      <c r="F201" s="1" t="s">
        <v>46</v>
      </c>
    </row>
    <row r="202" spans="1:10" x14ac:dyDescent="0.3">
      <c r="A202" s="14">
        <v>46169</v>
      </c>
      <c r="B202" s="15" t="s">
        <v>613</v>
      </c>
      <c r="C202" s="1" t="s">
        <v>24</v>
      </c>
      <c r="D202" s="3">
        <v>2000</v>
      </c>
      <c r="E202" t="s">
        <v>103</v>
      </c>
      <c r="F202" s="1" t="s">
        <v>51</v>
      </c>
    </row>
    <row r="203" spans="1:10" x14ac:dyDescent="0.3">
      <c r="A203" s="14">
        <v>46169</v>
      </c>
      <c r="B203" s="15" t="s">
        <v>614</v>
      </c>
      <c r="C203" s="1" t="s">
        <v>28</v>
      </c>
      <c r="D203" s="3">
        <v>1800</v>
      </c>
      <c r="E203" t="s">
        <v>100</v>
      </c>
      <c r="F203" s="1" t="s">
        <v>46</v>
      </c>
      <c r="J203" t="s">
        <v>619</v>
      </c>
    </row>
    <row r="204" spans="1:10" x14ac:dyDescent="0.3">
      <c r="A204" s="14">
        <v>46169</v>
      </c>
      <c r="B204" s="15" t="s">
        <v>615</v>
      </c>
      <c r="C204" s="1" t="s">
        <v>24</v>
      </c>
      <c r="D204" s="3">
        <v>2000</v>
      </c>
      <c r="E204" t="s">
        <v>103</v>
      </c>
      <c r="F204" s="1" t="s">
        <v>51</v>
      </c>
    </row>
    <row r="205" spans="1:10" x14ac:dyDescent="0.3">
      <c r="A205" s="14">
        <v>46169</v>
      </c>
      <c r="B205" s="15" t="s">
        <v>615</v>
      </c>
      <c r="C205" s="1" t="s">
        <v>43</v>
      </c>
      <c r="D205" s="3">
        <v>3800</v>
      </c>
      <c r="E205" t="s">
        <v>103</v>
      </c>
      <c r="F205" s="1" t="s">
        <v>51</v>
      </c>
    </row>
    <row r="206" spans="1:10" x14ac:dyDescent="0.3">
      <c r="A206" s="14">
        <v>46169</v>
      </c>
      <c r="B206" s="15" t="s">
        <v>616</v>
      </c>
      <c r="C206" s="1" t="s">
        <v>24</v>
      </c>
      <c r="D206" s="3">
        <v>2000</v>
      </c>
      <c r="E206" t="s">
        <v>16</v>
      </c>
      <c r="F206" s="1" t="s">
        <v>51</v>
      </c>
    </row>
    <row r="207" spans="1:10" x14ac:dyDescent="0.3">
      <c r="A207" s="14">
        <v>46169</v>
      </c>
      <c r="B207" s="15" t="s">
        <v>617</v>
      </c>
      <c r="C207" s="1" t="s">
        <v>24</v>
      </c>
      <c r="D207" s="3">
        <v>2000</v>
      </c>
      <c r="E207" t="s">
        <v>16</v>
      </c>
      <c r="F207" s="1" t="s">
        <v>64</v>
      </c>
    </row>
    <row r="208" spans="1:10" x14ac:dyDescent="0.3">
      <c r="A208" s="14">
        <v>46169</v>
      </c>
      <c r="B208" s="15" t="s">
        <v>617</v>
      </c>
      <c r="C208" s="1" t="s">
        <v>477</v>
      </c>
      <c r="D208" s="3">
        <v>2100</v>
      </c>
      <c r="E208" t="s">
        <v>16</v>
      </c>
      <c r="F208" s="1" t="s">
        <v>51</v>
      </c>
    </row>
    <row r="209" spans="1:6" x14ac:dyDescent="0.3">
      <c r="A209" s="14">
        <v>46169</v>
      </c>
      <c r="B209" s="15" t="s">
        <v>621</v>
      </c>
      <c r="C209" s="1" t="s">
        <v>126</v>
      </c>
      <c r="D209" s="3">
        <v>1600</v>
      </c>
      <c r="E209" t="s">
        <v>103</v>
      </c>
      <c r="F209" s="1" t="s">
        <v>46</v>
      </c>
    </row>
    <row r="210" spans="1:6" x14ac:dyDescent="0.3">
      <c r="A210" s="14">
        <v>46170</v>
      </c>
      <c r="B210" s="15" t="s">
        <v>624</v>
      </c>
      <c r="C210" s="1" t="s">
        <v>598</v>
      </c>
      <c r="D210" s="3">
        <v>1500</v>
      </c>
      <c r="E210" t="s">
        <v>103</v>
      </c>
      <c r="F210" s="1" t="s">
        <v>51</v>
      </c>
    </row>
    <row r="211" spans="1:6" x14ac:dyDescent="0.3">
      <c r="A211" s="14">
        <v>46170</v>
      </c>
      <c r="B211" s="15" t="s">
        <v>624</v>
      </c>
      <c r="C211" s="1" t="s">
        <v>85</v>
      </c>
      <c r="D211" s="3">
        <v>2800</v>
      </c>
      <c r="E211" t="s">
        <v>103</v>
      </c>
      <c r="F211" s="1" t="s">
        <v>51</v>
      </c>
    </row>
    <row r="212" spans="1:6" x14ac:dyDescent="0.3">
      <c r="A212" s="14">
        <v>46170</v>
      </c>
      <c r="B212" s="15" t="s">
        <v>625</v>
      </c>
      <c r="C212" s="1" t="s">
        <v>24</v>
      </c>
      <c r="D212" s="3">
        <v>0</v>
      </c>
      <c r="E212" t="s">
        <v>102</v>
      </c>
      <c r="F212" s="1" t="s">
        <v>51</v>
      </c>
    </row>
    <row r="213" spans="1:6" x14ac:dyDescent="0.3">
      <c r="A213" s="14">
        <v>46170</v>
      </c>
      <c r="B213" s="15" t="s">
        <v>626</v>
      </c>
      <c r="C213" s="1" t="s">
        <v>28</v>
      </c>
      <c r="D213" s="3">
        <v>1400</v>
      </c>
      <c r="E213" t="s">
        <v>103</v>
      </c>
      <c r="F213" s="1" t="s">
        <v>46</v>
      </c>
    </row>
    <row r="214" spans="1:6" x14ac:dyDescent="0.3">
      <c r="A214" s="14">
        <v>46170</v>
      </c>
      <c r="B214" s="15" t="s">
        <v>626</v>
      </c>
      <c r="C214" s="1" t="s">
        <v>628</v>
      </c>
      <c r="D214" s="3">
        <v>3800</v>
      </c>
      <c r="E214" t="s">
        <v>103</v>
      </c>
      <c r="F214" s="1" t="s">
        <v>46</v>
      </c>
    </row>
    <row r="215" spans="1:6" x14ac:dyDescent="0.3">
      <c r="A215" s="14">
        <v>46171</v>
      </c>
      <c r="B215" s="15" t="s">
        <v>633</v>
      </c>
      <c r="C215" s="1" t="s">
        <v>65</v>
      </c>
      <c r="D215" s="3">
        <v>2500</v>
      </c>
      <c r="E215" t="s">
        <v>76</v>
      </c>
      <c r="F215" s="1" t="s">
        <v>51</v>
      </c>
    </row>
    <row r="216" spans="1:6" x14ac:dyDescent="0.3">
      <c r="A216" s="14">
        <v>46171</v>
      </c>
      <c r="B216" s="15" t="s">
        <v>633</v>
      </c>
      <c r="C216" s="1" t="s">
        <v>641</v>
      </c>
      <c r="D216" s="3">
        <v>3800</v>
      </c>
      <c r="E216" t="s">
        <v>76</v>
      </c>
      <c r="F216" s="1" t="s">
        <v>51</v>
      </c>
    </row>
    <row r="217" spans="1:6" x14ac:dyDescent="0.3">
      <c r="A217" s="14">
        <v>46171</v>
      </c>
      <c r="B217" s="15" t="s">
        <v>634</v>
      </c>
      <c r="C217" s="1" t="s">
        <v>29</v>
      </c>
      <c r="D217" s="3">
        <v>6000</v>
      </c>
      <c r="E217" t="s">
        <v>100</v>
      </c>
      <c r="F217" s="1" t="s">
        <v>51</v>
      </c>
    </row>
    <row r="218" spans="1:6" x14ac:dyDescent="0.3">
      <c r="A218" s="14">
        <v>46171</v>
      </c>
      <c r="B218" s="15" t="s">
        <v>635</v>
      </c>
      <c r="C218" s="1" t="s">
        <v>24</v>
      </c>
      <c r="D218" s="3">
        <v>2000</v>
      </c>
      <c r="E218" t="s">
        <v>100</v>
      </c>
      <c r="F218" s="1" t="s">
        <v>46</v>
      </c>
    </row>
    <row r="219" spans="1:6" x14ac:dyDescent="0.3">
      <c r="A219" s="14">
        <v>46171</v>
      </c>
      <c r="B219" s="15" t="s">
        <v>635</v>
      </c>
      <c r="C219" s="1" t="s">
        <v>643</v>
      </c>
      <c r="D219" s="3">
        <v>3800</v>
      </c>
      <c r="E219" t="s">
        <v>103</v>
      </c>
      <c r="F219" s="1" t="s">
        <v>46</v>
      </c>
    </row>
    <row r="220" spans="1:6" x14ac:dyDescent="0.3">
      <c r="A220" s="14">
        <v>46171</v>
      </c>
      <c r="B220" s="15" t="s">
        <v>636</v>
      </c>
      <c r="C220" s="1" t="s">
        <v>24</v>
      </c>
      <c r="D220" s="3">
        <v>2000</v>
      </c>
      <c r="E220" t="s">
        <v>100</v>
      </c>
      <c r="F220" s="1" t="s">
        <v>51</v>
      </c>
    </row>
    <row r="221" spans="1:6" x14ac:dyDescent="0.3">
      <c r="A221" s="14">
        <v>46171</v>
      </c>
      <c r="B221" s="15" t="s">
        <v>636</v>
      </c>
      <c r="C221" s="1" t="s">
        <v>644</v>
      </c>
      <c r="D221" s="3">
        <v>1000</v>
      </c>
      <c r="E221" t="s">
        <v>100</v>
      </c>
      <c r="F221" s="1" t="s">
        <v>51</v>
      </c>
    </row>
    <row r="222" spans="1:6" x14ac:dyDescent="0.3">
      <c r="A222" s="14">
        <v>46171</v>
      </c>
      <c r="B222" s="15" t="s">
        <v>637</v>
      </c>
      <c r="C222" s="1" t="s">
        <v>649</v>
      </c>
      <c r="D222" s="3">
        <v>0</v>
      </c>
    </row>
    <row r="223" spans="1:6" x14ac:dyDescent="0.3">
      <c r="A223" s="14">
        <v>46171</v>
      </c>
      <c r="B223" s="15" t="s">
        <v>638</v>
      </c>
      <c r="C223" s="1" t="s">
        <v>28</v>
      </c>
      <c r="D223" s="3">
        <v>2000</v>
      </c>
      <c r="E223" t="s">
        <v>16</v>
      </c>
      <c r="F223" s="1" t="s">
        <v>51</v>
      </c>
    </row>
    <row r="224" spans="1:6" x14ac:dyDescent="0.3">
      <c r="A224" s="14">
        <v>46171</v>
      </c>
      <c r="B224" s="15" t="s">
        <v>638</v>
      </c>
      <c r="C224" s="1" t="s">
        <v>650</v>
      </c>
      <c r="D224" s="3">
        <v>2000</v>
      </c>
      <c r="E224" t="s">
        <v>16</v>
      </c>
      <c r="F224" s="1" t="s">
        <v>51</v>
      </c>
    </row>
    <row r="225" spans="1:6" x14ac:dyDescent="0.3">
      <c r="A225" s="14">
        <v>46171</v>
      </c>
      <c r="B225" s="15" t="s">
        <v>639</v>
      </c>
      <c r="C225" s="1" t="s">
        <v>28</v>
      </c>
      <c r="D225" s="3">
        <v>2000</v>
      </c>
      <c r="E225" t="s">
        <v>100</v>
      </c>
      <c r="F225" s="1" t="s">
        <v>46</v>
      </c>
    </row>
    <row r="226" spans="1:6" x14ac:dyDescent="0.3">
      <c r="A226" s="14">
        <v>46171</v>
      </c>
      <c r="B226" s="15" t="s">
        <v>639</v>
      </c>
      <c r="C226" s="1" t="s">
        <v>657</v>
      </c>
      <c r="D226" s="3">
        <v>700</v>
      </c>
      <c r="E226" t="s">
        <v>100</v>
      </c>
      <c r="F226" s="1" t="s">
        <v>46</v>
      </c>
    </row>
    <row r="227" spans="1:6" x14ac:dyDescent="0.3">
      <c r="A227" s="14">
        <v>46171</v>
      </c>
      <c r="B227" s="15" t="s">
        <v>57</v>
      </c>
      <c r="C227" s="1" t="s">
        <v>655</v>
      </c>
      <c r="D227" s="3">
        <v>7000</v>
      </c>
      <c r="E227" t="s">
        <v>100</v>
      </c>
    </row>
    <row r="228" spans="1:6" x14ac:dyDescent="0.3">
      <c r="A228" s="14">
        <v>46171</v>
      </c>
      <c r="B228" s="15" t="s">
        <v>482</v>
      </c>
      <c r="C228" s="1" t="s">
        <v>56</v>
      </c>
      <c r="D228" s="3">
        <v>1600</v>
      </c>
      <c r="E228" t="s">
        <v>100</v>
      </c>
      <c r="F228" s="1" t="s">
        <v>51</v>
      </c>
    </row>
    <row r="229" spans="1:6" x14ac:dyDescent="0.3">
      <c r="A229" s="14">
        <v>46172</v>
      </c>
      <c r="B229" s="15" t="s">
        <v>177</v>
      </c>
      <c r="C229" s="1" t="s">
        <v>159</v>
      </c>
      <c r="D229" s="3">
        <v>3000</v>
      </c>
      <c r="E229" t="s">
        <v>100</v>
      </c>
      <c r="F229" s="1" t="s">
        <v>31</v>
      </c>
    </row>
    <row r="230" spans="1:6" x14ac:dyDescent="0.3">
      <c r="A230" s="14">
        <v>46172</v>
      </c>
      <c r="B230" s="15" t="s">
        <v>177</v>
      </c>
      <c r="C230" s="1" t="s">
        <v>661</v>
      </c>
      <c r="D230" s="3">
        <v>3000</v>
      </c>
      <c r="E230" t="s">
        <v>100</v>
      </c>
      <c r="F230" s="1" t="s">
        <v>31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DE45-14A2-4515-A46A-74AC4D4A1DD7}">
  <sheetPr>
    <tabColor theme="8" tint="0.79998168889431442"/>
  </sheetPr>
  <dimension ref="A7:K34"/>
  <sheetViews>
    <sheetView showGridLines="0" zoomScale="112" zoomScaleNormal="112" workbookViewId="0">
      <pane ySplit="8" topLeftCell="A9" activePane="bottomLeft" state="frozen"/>
      <selection pane="bottomLeft" activeCell="B8" sqref="B8"/>
    </sheetView>
  </sheetViews>
  <sheetFormatPr baseColWidth="10" defaultColWidth="0" defaultRowHeight="14.4" x14ac:dyDescent="0.3"/>
  <cols>
    <col min="1" max="1" width="14.109375" style="1" customWidth="1"/>
    <col min="2" max="2" width="28.5546875" bestFit="1" customWidth="1"/>
    <col min="3" max="3" width="47.33203125" customWidth="1"/>
    <col min="4" max="4" width="9.33203125" customWidth="1"/>
    <col min="5" max="5" width="16.33203125" customWidth="1"/>
    <col min="6" max="6" width="13.109375" customWidth="1"/>
    <col min="7" max="7" width="17" customWidth="1"/>
    <col min="8" max="8" width="18.44140625" customWidth="1"/>
    <col min="9" max="9" width="14.6640625" bestFit="1" customWidth="1"/>
    <col min="10" max="10" width="17.44140625" customWidth="1"/>
    <col min="11" max="11" width="11.44140625" customWidth="1"/>
    <col min="12" max="16384" width="11.44140625" hidden="1"/>
  </cols>
  <sheetData>
    <row r="7" spans="1:10" ht="18" x14ac:dyDescent="0.35">
      <c r="A7" s="44" t="s">
        <v>90</v>
      </c>
    </row>
    <row r="8" spans="1:10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x14ac:dyDescent="0.3">
      <c r="A9" s="14">
        <v>46144</v>
      </c>
      <c r="B9" s="21" t="s">
        <v>174</v>
      </c>
      <c r="C9" s="1" t="s">
        <v>178</v>
      </c>
      <c r="D9" s="3">
        <v>1200</v>
      </c>
      <c r="E9" t="s">
        <v>103</v>
      </c>
      <c r="F9" t="s">
        <v>51</v>
      </c>
      <c r="J9" t="s">
        <v>192</v>
      </c>
    </row>
    <row r="10" spans="1:10" x14ac:dyDescent="0.3">
      <c r="A10" s="14">
        <v>46144</v>
      </c>
      <c r="B10" s="21" t="s">
        <v>216</v>
      </c>
      <c r="C10" s="1" t="s">
        <v>66</v>
      </c>
      <c r="D10" s="3">
        <v>3500</v>
      </c>
      <c r="E10" t="s">
        <v>103</v>
      </c>
      <c r="F10" t="s">
        <v>51</v>
      </c>
      <c r="J10" t="s">
        <v>74</v>
      </c>
    </row>
    <row r="11" spans="1:10" x14ac:dyDescent="0.3">
      <c r="A11" s="14">
        <v>46148</v>
      </c>
      <c r="B11" s="29" t="s">
        <v>186</v>
      </c>
      <c r="C11" s="1" t="s">
        <v>89</v>
      </c>
      <c r="D11" s="3">
        <v>2000</v>
      </c>
      <c r="E11" t="s">
        <v>103</v>
      </c>
      <c r="F11" t="s">
        <v>64</v>
      </c>
      <c r="J11" t="s">
        <v>192</v>
      </c>
    </row>
    <row r="12" spans="1:10" x14ac:dyDescent="0.3">
      <c r="A12" s="14">
        <v>46149</v>
      </c>
      <c r="B12" s="16" t="s">
        <v>325</v>
      </c>
      <c r="C12" s="1" t="s">
        <v>81</v>
      </c>
      <c r="D12" s="3">
        <v>2125</v>
      </c>
      <c r="E12" t="s">
        <v>76</v>
      </c>
      <c r="F12" t="s">
        <v>46</v>
      </c>
      <c r="H12" t="s">
        <v>333</v>
      </c>
      <c r="J12" t="s">
        <v>192</v>
      </c>
    </row>
    <row r="13" spans="1:10" x14ac:dyDescent="0.3">
      <c r="A13" s="14">
        <v>46150</v>
      </c>
      <c r="B13" s="29" t="s">
        <v>332</v>
      </c>
      <c r="C13" s="1" t="s">
        <v>95</v>
      </c>
      <c r="D13" s="3">
        <v>2000</v>
      </c>
      <c r="E13" t="s">
        <v>103</v>
      </c>
      <c r="F13" t="s">
        <v>51</v>
      </c>
      <c r="J13" t="s">
        <v>192</v>
      </c>
    </row>
    <row r="14" spans="1:10" x14ac:dyDescent="0.3">
      <c r="A14" s="14">
        <v>46150</v>
      </c>
      <c r="B14" s="29" t="s">
        <v>327</v>
      </c>
      <c r="C14" s="1" t="s">
        <v>81</v>
      </c>
      <c r="D14" s="3">
        <v>2720</v>
      </c>
      <c r="E14" t="s">
        <v>16</v>
      </c>
      <c r="F14" t="s">
        <v>51</v>
      </c>
    </row>
    <row r="15" spans="1:10" x14ac:dyDescent="0.3">
      <c r="A15" s="14">
        <v>46150</v>
      </c>
      <c r="B15" s="21" t="s">
        <v>63</v>
      </c>
      <c r="C15" s="31" t="s">
        <v>198</v>
      </c>
      <c r="D15" s="3">
        <v>2720</v>
      </c>
    </row>
    <row r="16" spans="1:10" x14ac:dyDescent="0.3">
      <c r="A16" s="14">
        <v>46154</v>
      </c>
      <c r="B16" s="21" t="s">
        <v>384</v>
      </c>
      <c r="C16" s="31" t="s">
        <v>198</v>
      </c>
      <c r="D16" s="3">
        <v>2720</v>
      </c>
      <c r="E16" t="s">
        <v>103</v>
      </c>
      <c r="F16" t="s">
        <v>32</v>
      </c>
      <c r="J16" t="s">
        <v>74</v>
      </c>
    </row>
    <row r="17" spans="1:10" x14ac:dyDescent="0.3">
      <c r="A17" s="14">
        <v>46155</v>
      </c>
      <c r="B17" s="20" t="s">
        <v>92</v>
      </c>
      <c r="C17" s="1" t="s">
        <v>55</v>
      </c>
      <c r="D17" s="13">
        <v>0</v>
      </c>
      <c r="E17" s="1" t="s">
        <v>102</v>
      </c>
      <c r="F17" s="1"/>
      <c r="G17" s="1"/>
      <c r="H17" s="1"/>
      <c r="I17" s="1"/>
      <c r="J17" s="1" t="s">
        <v>400</v>
      </c>
    </row>
    <row r="18" spans="1:10" x14ac:dyDescent="0.3">
      <c r="A18" s="14">
        <v>46156</v>
      </c>
      <c r="B18" s="29" t="s">
        <v>215</v>
      </c>
      <c r="C18" s="1" t="s">
        <v>89</v>
      </c>
      <c r="D18" s="3">
        <v>2000</v>
      </c>
      <c r="E18" t="s">
        <v>103</v>
      </c>
      <c r="F18" t="s">
        <v>51</v>
      </c>
    </row>
    <row r="19" spans="1:10" x14ac:dyDescent="0.3">
      <c r="A19" s="14">
        <v>46157</v>
      </c>
      <c r="B19" s="21" t="s">
        <v>119</v>
      </c>
      <c r="C19" s="1" t="s">
        <v>178</v>
      </c>
      <c r="D19" s="3">
        <v>1200</v>
      </c>
      <c r="E19" t="s">
        <v>103</v>
      </c>
    </row>
    <row r="20" spans="1:10" x14ac:dyDescent="0.3">
      <c r="A20" s="14">
        <v>46158</v>
      </c>
      <c r="B20" s="21" t="s">
        <v>114</v>
      </c>
      <c r="C20" s="1" t="s">
        <v>457</v>
      </c>
      <c r="D20" s="3">
        <v>3500</v>
      </c>
      <c r="E20" t="s">
        <v>100</v>
      </c>
      <c r="J20" t="s">
        <v>74</v>
      </c>
    </row>
    <row r="21" spans="1:10" x14ac:dyDescent="0.3">
      <c r="A21" s="14">
        <v>46158</v>
      </c>
      <c r="B21" s="29" t="s">
        <v>460</v>
      </c>
      <c r="C21" s="31" t="s">
        <v>198</v>
      </c>
      <c r="D21" s="3">
        <v>2720</v>
      </c>
      <c r="E21" t="s">
        <v>103</v>
      </c>
      <c r="J21" t="s">
        <v>192</v>
      </c>
    </row>
    <row r="22" spans="1:10" x14ac:dyDescent="0.3">
      <c r="A22" s="14">
        <v>46160</v>
      </c>
      <c r="B22" s="18" t="s">
        <v>117</v>
      </c>
      <c r="C22" s="1" t="s">
        <v>95</v>
      </c>
      <c r="D22" s="3">
        <v>3000</v>
      </c>
      <c r="E22" t="s">
        <v>103</v>
      </c>
      <c r="J22" t="s">
        <v>74</v>
      </c>
    </row>
    <row r="23" spans="1:10" x14ac:dyDescent="0.3">
      <c r="A23" s="14">
        <v>46162</v>
      </c>
      <c r="B23" s="21" t="s">
        <v>190</v>
      </c>
      <c r="C23" s="1" t="s">
        <v>118</v>
      </c>
      <c r="D23" s="3">
        <v>700</v>
      </c>
      <c r="E23" t="s">
        <v>100</v>
      </c>
      <c r="J23" t="s">
        <v>74</v>
      </c>
    </row>
    <row r="24" spans="1:10" x14ac:dyDescent="0.3">
      <c r="A24" s="14">
        <v>46164</v>
      </c>
      <c r="B24" s="21" t="s">
        <v>555</v>
      </c>
      <c r="D24" s="3"/>
    </row>
    <row r="25" spans="1:10" x14ac:dyDescent="0.3">
      <c r="A25" s="14">
        <v>46164</v>
      </c>
      <c r="B25" s="22" t="s">
        <v>330</v>
      </c>
      <c r="C25" s="1" t="s">
        <v>556</v>
      </c>
      <c r="D25" s="3">
        <v>2500</v>
      </c>
      <c r="E25" t="s">
        <v>103</v>
      </c>
    </row>
    <row r="26" spans="1:10" x14ac:dyDescent="0.3">
      <c r="A26" s="14">
        <v>46168</v>
      </c>
      <c r="B26" s="21" t="s">
        <v>149</v>
      </c>
      <c r="C26" s="1" t="s">
        <v>37</v>
      </c>
      <c r="D26" s="3">
        <v>1200</v>
      </c>
      <c r="E26" t="s">
        <v>103</v>
      </c>
      <c r="J26" t="s">
        <v>192</v>
      </c>
    </row>
    <row r="27" spans="1:10" x14ac:dyDescent="0.3">
      <c r="A27" s="14">
        <v>46168</v>
      </c>
      <c r="B27" s="22" t="s">
        <v>592</v>
      </c>
      <c r="C27" s="1" t="s">
        <v>600</v>
      </c>
      <c r="D27" s="3">
        <v>3500</v>
      </c>
      <c r="E27" t="s">
        <v>103</v>
      </c>
      <c r="F27" t="s">
        <v>46</v>
      </c>
    </row>
    <row r="28" spans="1:10" x14ac:dyDescent="0.3">
      <c r="A28" s="14">
        <v>46169</v>
      </c>
      <c r="B28" s="22" t="s">
        <v>615</v>
      </c>
      <c r="C28" s="1" t="s">
        <v>600</v>
      </c>
      <c r="D28" s="3">
        <v>3500</v>
      </c>
      <c r="E28" t="s">
        <v>103</v>
      </c>
      <c r="F28" t="s">
        <v>51</v>
      </c>
    </row>
    <row r="29" spans="1:10" x14ac:dyDescent="0.3">
      <c r="A29" s="14">
        <v>46169</v>
      </c>
      <c r="B29" s="29" t="s">
        <v>620</v>
      </c>
      <c r="C29" s="1" t="s">
        <v>556</v>
      </c>
      <c r="D29" s="3">
        <v>2000</v>
      </c>
      <c r="E29" t="s">
        <v>16</v>
      </c>
    </row>
    <row r="30" spans="1:10" x14ac:dyDescent="0.3">
      <c r="A30" s="14">
        <v>46169</v>
      </c>
      <c r="B30" s="29" t="s">
        <v>620</v>
      </c>
      <c r="C30" s="1" t="s">
        <v>556</v>
      </c>
      <c r="D30" s="3">
        <v>125</v>
      </c>
      <c r="E30" t="s">
        <v>622</v>
      </c>
    </row>
    <row r="31" spans="1:10" x14ac:dyDescent="0.3">
      <c r="A31" s="14">
        <v>46170</v>
      </c>
      <c r="B31" s="22" t="s">
        <v>625</v>
      </c>
      <c r="C31" s="1" t="s">
        <v>627</v>
      </c>
      <c r="D31" s="3">
        <v>2900</v>
      </c>
      <c r="E31" t="s">
        <v>16</v>
      </c>
      <c r="F31" t="s">
        <v>51</v>
      </c>
    </row>
    <row r="32" spans="1:10" x14ac:dyDescent="0.3">
      <c r="A32" s="14">
        <v>46170</v>
      </c>
      <c r="B32" s="22" t="s">
        <v>625</v>
      </c>
      <c r="D32" s="3">
        <v>1600</v>
      </c>
      <c r="E32" t="s">
        <v>103</v>
      </c>
      <c r="F32" t="s">
        <v>51</v>
      </c>
    </row>
    <row r="33" spans="1:6" x14ac:dyDescent="0.3">
      <c r="A33" s="14">
        <v>46170</v>
      </c>
      <c r="B33" s="29" t="s">
        <v>626</v>
      </c>
      <c r="D33" s="3">
        <v>3500</v>
      </c>
      <c r="E33" t="s">
        <v>103</v>
      </c>
      <c r="F33" t="s">
        <v>46</v>
      </c>
    </row>
    <row r="34" spans="1:6" x14ac:dyDescent="0.3">
      <c r="A34" s="14">
        <v>46171</v>
      </c>
      <c r="B34" s="22" t="s">
        <v>635</v>
      </c>
      <c r="C34" s="1" t="s">
        <v>600</v>
      </c>
      <c r="D34" s="3">
        <v>3500</v>
      </c>
      <c r="E34" t="s">
        <v>100</v>
      </c>
      <c r="F34" t="s">
        <v>46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8ACE024-D522-4A26-B603-947DAA0FB02A}">
          <x14:formula1>
            <xm:f>Listas!$C$2:$C$8</xm:f>
          </x14:formula1>
          <xm:sqref>E13 E16:E17 E9:E11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9856-900A-461D-91E0-40A994B74385}">
  <sheetPr>
    <tabColor theme="6" tint="0.39997558519241921"/>
  </sheetPr>
  <dimension ref="A7:K67"/>
  <sheetViews>
    <sheetView showGridLines="0" tabSelected="1" zoomScaleNormal="100" workbookViewId="0">
      <pane ySplit="8" topLeftCell="A14" activePane="bottomLeft" state="frozen"/>
      <selection pane="bottomLeft" activeCell="A72" sqref="A72"/>
    </sheetView>
  </sheetViews>
  <sheetFormatPr baseColWidth="10" defaultColWidth="0" defaultRowHeight="14.4" x14ac:dyDescent="0.3"/>
  <cols>
    <col min="1" max="1" width="14.109375" style="1" customWidth="1"/>
    <col min="2" max="2" width="30.5546875" customWidth="1"/>
    <col min="3" max="3" width="47.33203125" style="1" customWidth="1"/>
    <col min="4" max="4" width="9.33203125" customWidth="1"/>
    <col min="5" max="5" width="16.33203125" customWidth="1"/>
    <col min="6" max="6" width="13.109375" style="1" customWidth="1"/>
    <col min="7" max="7" width="17" customWidth="1"/>
    <col min="8" max="8" width="18.44140625" customWidth="1"/>
    <col min="9" max="9" width="14.6640625" bestFit="1" customWidth="1"/>
    <col min="10" max="10" width="17.44140625" customWidth="1"/>
    <col min="11" max="11" width="11.44140625" customWidth="1"/>
    <col min="12" max="16384" width="11.44140625" hidden="1"/>
  </cols>
  <sheetData>
    <row r="7" spans="1:10" ht="25.8" x14ac:dyDescent="0.5">
      <c r="A7" s="19" t="s">
        <v>86</v>
      </c>
    </row>
    <row r="8" spans="1:10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hidden="1" x14ac:dyDescent="0.3">
      <c r="A9" s="14">
        <v>46146</v>
      </c>
      <c r="B9" s="29" t="s">
        <v>125</v>
      </c>
      <c r="C9" s="1" t="s">
        <v>189</v>
      </c>
      <c r="D9" s="3">
        <v>2720</v>
      </c>
      <c r="E9" t="s">
        <v>76</v>
      </c>
      <c r="F9" s="1" t="s">
        <v>51</v>
      </c>
      <c r="J9" t="s">
        <v>110</v>
      </c>
    </row>
    <row r="10" spans="1:10" hidden="1" x14ac:dyDescent="0.3">
      <c r="A10" s="14">
        <v>46146</v>
      </c>
      <c r="B10" s="16" t="s">
        <v>224</v>
      </c>
      <c r="C10" s="1" t="s">
        <v>77</v>
      </c>
      <c r="D10" s="3">
        <v>4300</v>
      </c>
      <c r="E10" t="s">
        <v>103</v>
      </c>
      <c r="F10" s="1" t="s">
        <v>51</v>
      </c>
      <c r="J10" t="s">
        <v>110</v>
      </c>
    </row>
    <row r="11" spans="1:10" hidden="1" x14ac:dyDescent="0.3">
      <c r="A11" s="14">
        <v>46146</v>
      </c>
      <c r="B11" s="16" t="s">
        <v>109</v>
      </c>
      <c r="C11" s="1" t="s">
        <v>226</v>
      </c>
      <c r="D11" s="3">
        <v>1800</v>
      </c>
      <c r="E11" t="s">
        <v>103</v>
      </c>
      <c r="F11" s="1" t="s">
        <v>51</v>
      </c>
      <c r="J11" t="s">
        <v>110</v>
      </c>
    </row>
    <row r="12" spans="1:10" hidden="1" x14ac:dyDescent="0.3">
      <c r="A12" s="14">
        <v>46146</v>
      </c>
      <c r="B12" s="16" t="s">
        <v>109</v>
      </c>
      <c r="C12" s="1" t="s">
        <v>227</v>
      </c>
      <c r="D12" s="3">
        <v>500</v>
      </c>
      <c r="E12" t="s">
        <v>103</v>
      </c>
      <c r="F12" s="1" t="s">
        <v>51</v>
      </c>
      <c r="J12" t="s">
        <v>110</v>
      </c>
    </row>
    <row r="13" spans="1:10" hidden="1" x14ac:dyDescent="0.3">
      <c r="A13" s="14">
        <v>46146</v>
      </c>
      <c r="B13" s="21" t="s">
        <v>225</v>
      </c>
      <c r="C13" s="1" t="s">
        <v>206</v>
      </c>
      <c r="D13" s="3">
        <v>1200</v>
      </c>
      <c r="E13" t="s">
        <v>103</v>
      </c>
      <c r="J13" s="1" t="s">
        <v>72</v>
      </c>
    </row>
    <row r="14" spans="1:10" x14ac:dyDescent="0.3">
      <c r="A14" s="14">
        <v>46147</v>
      </c>
      <c r="B14" s="29" t="s">
        <v>187</v>
      </c>
      <c r="C14" s="1" t="s">
        <v>267</v>
      </c>
      <c r="D14" s="3">
        <v>1500</v>
      </c>
      <c r="E14" t="s">
        <v>103</v>
      </c>
      <c r="F14" s="1" t="s">
        <v>51</v>
      </c>
    </row>
    <row r="15" spans="1:10" hidden="1" x14ac:dyDescent="0.3">
      <c r="A15" s="14">
        <v>46147</v>
      </c>
      <c r="B15" s="21" t="s">
        <v>117</v>
      </c>
      <c r="C15" s="1" t="s">
        <v>270</v>
      </c>
      <c r="D15" s="3">
        <v>700</v>
      </c>
      <c r="E15" t="s">
        <v>103</v>
      </c>
      <c r="F15" s="1" t="s">
        <v>51</v>
      </c>
      <c r="J15" s="1" t="s">
        <v>72</v>
      </c>
    </row>
    <row r="16" spans="1:10" hidden="1" x14ac:dyDescent="0.3">
      <c r="A16" s="14">
        <v>46147</v>
      </c>
      <c r="B16" s="29" t="s">
        <v>264</v>
      </c>
      <c r="C16" s="1" t="s">
        <v>189</v>
      </c>
      <c r="D16" s="3">
        <v>2560</v>
      </c>
      <c r="E16" t="s">
        <v>16</v>
      </c>
      <c r="F16" s="1" t="s">
        <v>51</v>
      </c>
      <c r="H16" s="34"/>
      <c r="J16" t="s">
        <v>426</v>
      </c>
    </row>
    <row r="17" spans="1:10" hidden="1" x14ac:dyDescent="0.3">
      <c r="A17" s="14">
        <v>46148</v>
      </c>
      <c r="B17" s="16" t="s">
        <v>277</v>
      </c>
      <c r="C17" s="1" t="s">
        <v>127</v>
      </c>
      <c r="D17" s="3">
        <v>1000</v>
      </c>
      <c r="E17" t="s">
        <v>16</v>
      </c>
      <c r="F17" s="1" t="s">
        <v>51</v>
      </c>
      <c r="J17" t="s">
        <v>425</v>
      </c>
    </row>
    <row r="18" spans="1:10" hidden="1" x14ac:dyDescent="0.3">
      <c r="A18" s="14">
        <v>46148</v>
      </c>
      <c r="D18" s="3">
        <v>200</v>
      </c>
      <c r="E18" t="s">
        <v>103</v>
      </c>
      <c r="F18" s="1" t="s">
        <v>51</v>
      </c>
      <c r="J18" t="s">
        <v>278</v>
      </c>
    </row>
    <row r="19" spans="1:10" x14ac:dyDescent="0.3">
      <c r="A19" s="14">
        <v>46149</v>
      </c>
      <c r="B19" s="16" t="s">
        <v>300</v>
      </c>
      <c r="C19" s="1" t="s">
        <v>299</v>
      </c>
      <c r="D19" s="3">
        <v>1100</v>
      </c>
      <c r="E19" t="s">
        <v>76</v>
      </c>
      <c r="F19" s="1" t="s">
        <v>51</v>
      </c>
    </row>
    <row r="20" spans="1:10" hidden="1" x14ac:dyDescent="0.3">
      <c r="A20" s="14">
        <v>46149</v>
      </c>
      <c r="B20" s="21" t="s">
        <v>124</v>
      </c>
      <c r="C20" s="1" t="s">
        <v>127</v>
      </c>
      <c r="D20" s="3">
        <v>1200</v>
      </c>
      <c r="E20" t="s">
        <v>76</v>
      </c>
      <c r="F20" s="1" t="s">
        <v>51</v>
      </c>
      <c r="J20" t="s">
        <v>278</v>
      </c>
    </row>
    <row r="21" spans="1:10" hidden="1" x14ac:dyDescent="0.3">
      <c r="A21" s="14">
        <v>46150</v>
      </c>
      <c r="B21" s="16" t="s">
        <v>317</v>
      </c>
      <c r="C21" s="1" t="s">
        <v>207</v>
      </c>
      <c r="D21" s="3">
        <v>1700</v>
      </c>
      <c r="E21" t="s">
        <v>16</v>
      </c>
      <c r="F21" s="1" t="s">
        <v>51</v>
      </c>
      <c r="J21" t="s">
        <v>425</v>
      </c>
    </row>
    <row r="22" spans="1:10" x14ac:dyDescent="0.3">
      <c r="A22" s="14">
        <v>46150</v>
      </c>
      <c r="B22" s="21" t="s">
        <v>318</v>
      </c>
      <c r="C22" s="1" t="s">
        <v>334</v>
      </c>
      <c r="D22" s="3">
        <v>2000</v>
      </c>
      <c r="E22" t="s">
        <v>76</v>
      </c>
      <c r="F22" s="1" t="s">
        <v>46</v>
      </c>
      <c r="J22" s="1" t="s">
        <v>172</v>
      </c>
    </row>
    <row r="23" spans="1:10" hidden="1" x14ac:dyDescent="0.3">
      <c r="A23" s="14">
        <v>46150</v>
      </c>
      <c r="B23" s="16" t="s">
        <v>319</v>
      </c>
      <c r="C23" s="1" t="s">
        <v>342</v>
      </c>
      <c r="D23" s="3">
        <v>1200</v>
      </c>
      <c r="E23" t="s">
        <v>103</v>
      </c>
      <c r="F23" s="1" t="s">
        <v>51</v>
      </c>
      <c r="J23" t="s">
        <v>278</v>
      </c>
    </row>
    <row r="24" spans="1:10" hidden="1" x14ac:dyDescent="0.3">
      <c r="A24" s="14">
        <v>46150</v>
      </c>
      <c r="B24" s="21" t="s">
        <v>320</v>
      </c>
      <c r="C24" s="1" t="s">
        <v>178</v>
      </c>
      <c r="D24" s="3">
        <v>1200</v>
      </c>
      <c r="E24" t="s">
        <v>100</v>
      </c>
      <c r="F24" s="1" t="s">
        <v>51</v>
      </c>
      <c r="J24" s="1" t="s">
        <v>72</v>
      </c>
    </row>
    <row r="25" spans="1:10" hidden="1" x14ac:dyDescent="0.3">
      <c r="A25" s="14">
        <v>46150</v>
      </c>
      <c r="B25" s="21" t="s">
        <v>320</v>
      </c>
      <c r="C25" s="1" t="s">
        <v>353</v>
      </c>
      <c r="D25" s="3">
        <v>1200</v>
      </c>
      <c r="E25" t="s">
        <v>100</v>
      </c>
      <c r="F25" s="1" t="s">
        <v>64</v>
      </c>
      <c r="J25" s="1" t="s">
        <v>72</v>
      </c>
    </row>
    <row r="26" spans="1:10" hidden="1" x14ac:dyDescent="0.3">
      <c r="A26" s="14">
        <v>46150</v>
      </c>
      <c r="B26" s="18" t="s">
        <v>142</v>
      </c>
      <c r="C26" s="1" t="s">
        <v>347</v>
      </c>
      <c r="D26" s="3">
        <v>3500</v>
      </c>
      <c r="E26" t="s">
        <v>103</v>
      </c>
      <c r="F26" s="1" t="s">
        <v>51</v>
      </c>
      <c r="J26" s="1" t="s">
        <v>72</v>
      </c>
    </row>
    <row r="27" spans="1:10" hidden="1" x14ac:dyDescent="0.3">
      <c r="A27" s="14">
        <v>46151</v>
      </c>
      <c r="B27" s="29" t="s">
        <v>148</v>
      </c>
      <c r="C27" s="1" t="s">
        <v>37</v>
      </c>
      <c r="D27" s="3">
        <v>1200</v>
      </c>
      <c r="E27" t="s">
        <v>103</v>
      </c>
      <c r="F27" s="1" t="s">
        <v>51</v>
      </c>
      <c r="J27" t="s">
        <v>278</v>
      </c>
    </row>
    <row r="28" spans="1:10" hidden="1" x14ac:dyDescent="0.3">
      <c r="A28" s="14">
        <v>46151</v>
      </c>
      <c r="B28" s="21" t="s">
        <v>195</v>
      </c>
      <c r="C28" s="1" t="s">
        <v>189</v>
      </c>
      <c r="D28" s="3">
        <v>2720</v>
      </c>
      <c r="E28" t="s">
        <v>103</v>
      </c>
      <c r="F28" s="1" t="s">
        <v>46</v>
      </c>
      <c r="J28" t="s">
        <v>278</v>
      </c>
    </row>
    <row r="29" spans="1:10" hidden="1" x14ac:dyDescent="0.3">
      <c r="A29" s="14">
        <v>46151</v>
      </c>
      <c r="B29" s="16" t="s">
        <v>364</v>
      </c>
      <c r="C29" s="1" t="s">
        <v>206</v>
      </c>
      <c r="D29" s="3">
        <v>1500</v>
      </c>
      <c r="E29" t="s">
        <v>103</v>
      </c>
      <c r="F29" s="1" t="s">
        <v>51</v>
      </c>
      <c r="J29" t="s">
        <v>278</v>
      </c>
    </row>
    <row r="30" spans="1:10" hidden="1" x14ac:dyDescent="0.3">
      <c r="A30" s="14">
        <v>46153</v>
      </c>
      <c r="B30" s="29" t="s">
        <v>188</v>
      </c>
      <c r="C30" s="1" t="s">
        <v>347</v>
      </c>
      <c r="D30" s="3">
        <v>0</v>
      </c>
      <c r="E30" t="s">
        <v>102</v>
      </c>
      <c r="F30" s="1" t="s">
        <v>64</v>
      </c>
      <c r="J30" t="s">
        <v>379</v>
      </c>
    </row>
    <row r="31" spans="1:10" hidden="1" x14ac:dyDescent="0.3">
      <c r="A31" s="14">
        <v>46153</v>
      </c>
      <c r="B31" t="s">
        <v>371</v>
      </c>
      <c r="C31" s="1" t="s">
        <v>127</v>
      </c>
      <c r="D31" s="3">
        <v>1200</v>
      </c>
      <c r="E31" t="s">
        <v>103</v>
      </c>
      <c r="F31" s="1" t="s">
        <v>51</v>
      </c>
      <c r="J31" s="1" t="s">
        <v>72</v>
      </c>
    </row>
    <row r="32" spans="1:10" hidden="1" x14ac:dyDescent="0.3">
      <c r="A32" s="14">
        <v>46154</v>
      </c>
      <c r="B32" s="21" t="s">
        <v>380</v>
      </c>
      <c r="C32" s="1" t="s">
        <v>78</v>
      </c>
      <c r="D32" s="3">
        <v>5000</v>
      </c>
      <c r="E32" t="s">
        <v>16</v>
      </c>
      <c r="F32" s="1" t="s">
        <v>51</v>
      </c>
      <c r="J32" t="s">
        <v>393</v>
      </c>
    </row>
    <row r="33" spans="1:10" hidden="1" x14ac:dyDescent="0.3">
      <c r="A33" s="14">
        <v>46154</v>
      </c>
      <c r="B33" s="21" t="s">
        <v>380</v>
      </c>
      <c r="C33" s="1" t="s">
        <v>347</v>
      </c>
      <c r="D33" s="3">
        <v>5000</v>
      </c>
      <c r="E33" t="s">
        <v>16</v>
      </c>
      <c r="F33" s="1" t="s">
        <v>51</v>
      </c>
      <c r="J33" t="s">
        <v>393</v>
      </c>
    </row>
    <row r="34" spans="1:10" hidden="1" x14ac:dyDescent="0.3">
      <c r="A34" s="14">
        <v>46154</v>
      </c>
      <c r="B34" s="21" t="s">
        <v>197</v>
      </c>
      <c r="C34" s="1" t="s">
        <v>189</v>
      </c>
      <c r="D34" s="3">
        <v>2720</v>
      </c>
      <c r="E34" t="s">
        <v>103</v>
      </c>
      <c r="F34" s="1" t="s">
        <v>46</v>
      </c>
      <c r="J34" s="1" t="s">
        <v>72</v>
      </c>
    </row>
    <row r="35" spans="1:10" hidden="1" x14ac:dyDescent="0.3">
      <c r="A35" s="14">
        <v>46154</v>
      </c>
      <c r="B35" s="21" t="s">
        <v>171</v>
      </c>
      <c r="C35" s="1" t="s">
        <v>206</v>
      </c>
      <c r="D35" s="3">
        <v>1200</v>
      </c>
      <c r="E35" t="s">
        <v>103</v>
      </c>
      <c r="F35" s="1" t="s">
        <v>51</v>
      </c>
      <c r="J35" s="1" t="s">
        <v>72</v>
      </c>
    </row>
    <row r="36" spans="1:10" hidden="1" x14ac:dyDescent="0.3">
      <c r="A36" s="14">
        <v>46155</v>
      </c>
      <c r="B36" s="29" t="s">
        <v>194</v>
      </c>
      <c r="C36" s="31" t="s">
        <v>401</v>
      </c>
      <c r="D36" s="3">
        <v>3400</v>
      </c>
      <c r="E36" t="s">
        <v>103</v>
      </c>
      <c r="F36" s="1" t="s">
        <v>51</v>
      </c>
      <c r="J36" t="s">
        <v>278</v>
      </c>
    </row>
    <row r="37" spans="1:10" hidden="1" x14ac:dyDescent="0.3">
      <c r="A37" s="14">
        <v>46155</v>
      </c>
      <c r="B37" s="16" t="s">
        <v>407</v>
      </c>
      <c r="C37" s="31" t="s">
        <v>409</v>
      </c>
      <c r="D37" s="3">
        <v>1100</v>
      </c>
      <c r="E37" t="s">
        <v>103</v>
      </c>
      <c r="F37" s="1" t="s">
        <v>51</v>
      </c>
      <c r="J37" t="s">
        <v>278</v>
      </c>
    </row>
    <row r="38" spans="1:10" hidden="1" x14ac:dyDescent="0.3">
      <c r="A38" s="14">
        <v>46155</v>
      </c>
      <c r="B38" s="29" t="s">
        <v>167</v>
      </c>
      <c r="C38" s="31" t="s">
        <v>410</v>
      </c>
      <c r="D38" s="3">
        <v>1950</v>
      </c>
      <c r="E38" t="s">
        <v>103</v>
      </c>
      <c r="F38" s="1" t="s">
        <v>51</v>
      </c>
      <c r="J38" t="s">
        <v>278</v>
      </c>
    </row>
    <row r="39" spans="1:10" hidden="1" x14ac:dyDescent="0.3">
      <c r="A39" s="14">
        <v>46157</v>
      </c>
      <c r="B39" s="21" t="s">
        <v>185</v>
      </c>
      <c r="C39" s="1" t="s">
        <v>189</v>
      </c>
      <c r="D39" s="3">
        <v>2720</v>
      </c>
      <c r="E39" t="s">
        <v>16</v>
      </c>
      <c r="F39" s="1" t="s">
        <v>31</v>
      </c>
    </row>
    <row r="40" spans="1:10" hidden="1" x14ac:dyDescent="0.3">
      <c r="A40" s="14">
        <v>46160</v>
      </c>
      <c r="B40" s="21" t="s">
        <v>170</v>
      </c>
      <c r="C40" s="1" t="s">
        <v>189</v>
      </c>
      <c r="D40" s="3">
        <v>3400</v>
      </c>
      <c r="E40" t="s">
        <v>17</v>
      </c>
      <c r="F40" s="1" t="s">
        <v>51</v>
      </c>
    </row>
    <row r="41" spans="1:10" hidden="1" x14ac:dyDescent="0.3">
      <c r="A41" s="14">
        <v>46161</v>
      </c>
      <c r="B41" s="21" t="s">
        <v>480</v>
      </c>
      <c r="C41" s="1" t="s">
        <v>50</v>
      </c>
      <c r="D41" s="3">
        <v>3500</v>
      </c>
      <c r="E41" t="s">
        <v>103</v>
      </c>
      <c r="F41" s="1" t="s">
        <v>32</v>
      </c>
      <c r="J41" t="s">
        <v>110</v>
      </c>
    </row>
    <row r="42" spans="1:10" hidden="1" x14ac:dyDescent="0.3">
      <c r="A42" s="14">
        <v>46161</v>
      </c>
      <c r="B42" s="21" t="s">
        <v>284</v>
      </c>
      <c r="C42" s="1" t="s">
        <v>37</v>
      </c>
      <c r="D42" s="3"/>
    </row>
    <row r="43" spans="1:10" x14ac:dyDescent="0.3">
      <c r="A43" s="14">
        <v>46162</v>
      </c>
      <c r="B43" s="40" t="s">
        <v>504</v>
      </c>
      <c r="C43" s="1" t="s">
        <v>127</v>
      </c>
      <c r="D43" s="3">
        <v>1200</v>
      </c>
      <c r="E43" t="s">
        <v>103</v>
      </c>
      <c r="F43" s="1" t="s">
        <v>51</v>
      </c>
    </row>
    <row r="44" spans="1:10" x14ac:dyDescent="0.3">
      <c r="A44" s="14">
        <v>46162</v>
      </c>
      <c r="B44" s="29" t="s">
        <v>501</v>
      </c>
      <c r="C44" s="1" t="s">
        <v>89</v>
      </c>
      <c r="D44" s="3">
        <v>2000</v>
      </c>
      <c r="E44" t="s">
        <v>103</v>
      </c>
      <c r="F44" s="1" t="s">
        <v>51</v>
      </c>
    </row>
    <row r="45" spans="1:10" hidden="1" x14ac:dyDescent="0.3">
      <c r="A45" s="14">
        <v>46162</v>
      </c>
      <c r="B45" s="21" t="s">
        <v>495</v>
      </c>
      <c r="C45" s="1" t="s">
        <v>525</v>
      </c>
      <c r="D45" s="3">
        <v>1000</v>
      </c>
      <c r="E45" t="s">
        <v>103</v>
      </c>
      <c r="F45" s="1" t="s">
        <v>172</v>
      </c>
      <c r="J45" s="1" t="s">
        <v>72</v>
      </c>
    </row>
    <row r="46" spans="1:10" hidden="1" x14ac:dyDescent="0.3">
      <c r="A46" s="14">
        <v>46162</v>
      </c>
      <c r="B46" s="21" t="s">
        <v>495</v>
      </c>
      <c r="D46" s="3">
        <v>200</v>
      </c>
      <c r="E46" t="s">
        <v>16</v>
      </c>
    </row>
    <row r="47" spans="1:10" hidden="1" x14ac:dyDescent="0.3">
      <c r="A47" s="14">
        <v>46163</v>
      </c>
      <c r="B47" s="29" t="s">
        <v>167</v>
      </c>
      <c r="C47" s="1" t="s">
        <v>189</v>
      </c>
      <c r="D47" s="3">
        <v>2720</v>
      </c>
      <c r="E47" t="s">
        <v>103</v>
      </c>
      <c r="F47" s="1" t="s">
        <v>51</v>
      </c>
      <c r="J47" t="s">
        <v>175</v>
      </c>
    </row>
    <row r="48" spans="1:10" hidden="1" x14ac:dyDescent="0.3">
      <c r="A48" s="14">
        <v>46163</v>
      </c>
      <c r="B48" s="16" t="s">
        <v>531</v>
      </c>
      <c r="C48" s="1" t="s">
        <v>189</v>
      </c>
      <c r="D48" s="3">
        <v>2720</v>
      </c>
      <c r="E48" t="s">
        <v>103</v>
      </c>
      <c r="F48" s="1" t="s">
        <v>51</v>
      </c>
      <c r="J48" t="s">
        <v>175</v>
      </c>
    </row>
    <row r="49" spans="1:10" hidden="1" x14ac:dyDescent="0.3">
      <c r="A49" s="14">
        <v>46164</v>
      </c>
      <c r="B49" s="23" t="s">
        <v>196</v>
      </c>
      <c r="C49" s="41" t="s">
        <v>549</v>
      </c>
      <c r="D49" s="3">
        <v>1200</v>
      </c>
      <c r="E49" t="s">
        <v>16</v>
      </c>
      <c r="F49" s="1" t="s">
        <v>51</v>
      </c>
      <c r="J49" t="s">
        <v>425</v>
      </c>
    </row>
    <row r="50" spans="1:10" hidden="1" x14ac:dyDescent="0.3">
      <c r="A50" s="14">
        <v>46164</v>
      </c>
      <c r="B50" s="17" t="s">
        <v>546</v>
      </c>
      <c r="C50" s="41" t="s">
        <v>550</v>
      </c>
      <c r="D50" s="3">
        <v>2720</v>
      </c>
      <c r="E50" t="s">
        <v>76</v>
      </c>
      <c r="F50" s="1" t="s">
        <v>51</v>
      </c>
      <c r="J50" t="s">
        <v>175</v>
      </c>
    </row>
    <row r="51" spans="1:10" hidden="1" x14ac:dyDescent="0.3">
      <c r="A51" s="14">
        <v>46164</v>
      </c>
      <c r="B51" s="22" t="s">
        <v>187</v>
      </c>
      <c r="C51" s="31" t="s">
        <v>401</v>
      </c>
      <c r="D51" s="3">
        <v>3400</v>
      </c>
      <c r="E51" t="s">
        <v>103</v>
      </c>
      <c r="F51" s="1" t="s">
        <v>51</v>
      </c>
      <c r="J51" t="s">
        <v>175</v>
      </c>
    </row>
    <row r="52" spans="1:10" hidden="1" x14ac:dyDescent="0.3">
      <c r="A52" s="14">
        <v>46164</v>
      </c>
      <c r="B52" s="23" t="s">
        <v>191</v>
      </c>
      <c r="C52" s="41" t="s">
        <v>551</v>
      </c>
      <c r="D52" s="3">
        <v>850</v>
      </c>
      <c r="E52" t="s">
        <v>103</v>
      </c>
      <c r="F52" s="1" t="s">
        <v>51</v>
      </c>
      <c r="J52" t="s">
        <v>72</v>
      </c>
    </row>
    <row r="53" spans="1:10" hidden="1" x14ac:dyDescent="0.3">
      <c r="A53" s="14">
        <v>46164</v>
      </c>
      <c r="B53" s="17" t="s">
        <v>547</v>
      </c>
      <c r="C53" s="1" t="s">
        <v>561</v>
      </c>
      <c r="D53" s="3">
        <v>1500</v>
      </c>
      <c r="E53" t="s">
        <v>103</v>
      </c>
      <c r="F53" s="1" t="s">
        <v>51</v>
      </c>
      <c r="J53" t="s">
        <v>72</v>
      </c>
    </row>
    <row r="54" spans="1:10" hidden="1" x14ac:dyDescent="0.3">
      <c r="A54" s="14">
        <v>46164</v>
      </c>
      <c r="B54" s="16" t="s">
        <v>548</v>
      </c>
      <c r="C54" s="41" t="s">
        <v>562</v>
      </c>
      <c r="D54" s="3">
        <v>850</v>
      </c>
      <c r="E54" t="s">
        <v>103</v>
      </c>
      <c r="F54" s="1" t="s">
        <v>46</v>
      </c>
      <c r="J54" t="s">
        <v>72</v>
      </c>
    </row>
    <row r="55" spans="1:10" hidden="1" x14ac:dyDescent="0.3">
      <c r="A55" s="14">
        <v>46164</v>
      </c>
      <c r="B55" s="16" t="s">
        <v>548</v>
      </c>
      <c r="C55" s="1" t="s">
        <v>563</v>
      </c>
      <c r="D55" s="3">
        <v>800</v>
      </c>
      <c r="E55" t="s">
        <v>103</v>
      </c>
      <c r="F55" s="1" t="s">
        <v>46</v>
      </c>
      <c r="J55" t="s">
        <v>72</v>
      </c>
    </row>
    <row r="56" spans="1:10" hidden="1" x14ac:dyDescent="0.3">
      <c r="A56" s="14">
        <v>46165</v>
      </c>
      <c r="B56" s="22" t="s">
        <v>359</v>
      </c>
      <c r="C56" s="1" t="s">
        <v>556</v>
      </c>
      <c r="D56" s="3">
        <v>2500</v>
      </c>
      <c r="E56" t="s">
        <v>103</v>
      </c>
      <c r="F56" s="1" t="s">
        <v>51</v>
      </c>
      <c r="J56" t="s">
        <v>175</v>
      </c>
    </row>
    <row r="57" spans="1:10" hidden="1" x14ac:dyDescent="0.3">
      <c r="A57" s="14">
        <v>46168</v>
      </c>
      <c r="B57" s="16" t="s">
        <v>597</v>
      </c>
      <c r="C57" s="1" t="s">
        <v>347</v>
      </c>
      <c r="D57" s="3">
        <v>3200</v>
      </c>
      <c r="E57" t="s">
        <v>76</v>
      </c>
      <c r="F57" s="1" t="s">
        <v>51</v>
      </c>
      <c r="J57" t="s">
        <v>175</v>
      </c>
    </row>
    <row r="58" spans="1:10" hidden="1" x14ac:dyDescent="0.3">
      <c r="A58" s="14">
        <v>46168</v>
      </c>
      <c r="B58" s="29" t="s">
        <v>88</v>
      </c>
      <c r="C58" s="1" t="s">
        <v>600</v>
      </c>
      <c r="D58" s="3">
        <v>3500</v>
      </c>
      <c r="E58" t="s">
        <v>103</v>
      </c>
      <c r="J58" t="s">
        <v>175</v>
      </c>
    </row>
    <row r="59" spans="1:10" hidden="1" x14ac:dyDescent="0.3">
      <c r="A59" s="14">
        <v>46168</v>
      </c>
      <c r="B59" s="29" t="s">
        <v>140</v>
      </c>
      <c r="C59" s="1" t="s">
        <v>600</v>
      </c>
      <c r="D59" s="3">
        <v>3500</v>
      </c>
      <c r="E59" t="s">
        <v>103</v>
      </c>
      <c r="J59" t="s">
        <v>175</v>
      </c>
    </row>
    <row r="60" spans="1:10" hidden="1" x14ac:dyDescent="0.3">
      <c r="A60" s="14">
        <v>46169</v>
      </c>
      <c r="B60" s="29" t="s">
        <v>203</v>
      </c>
      <c r="C60" s="1" t="s">
        <v>127</v>
      </c>
      <c r="D60" s="3">
        <v>1200</v>
      </c>
      <c r="E60" t="s">
        <v>103</v>
      </c>
      <c r="F60" s="1" t="s">
        <v>46</v>
      </c>
      <c r="G60" t="s">
        <v>642</v>
      </c>
      <c r="J60" t="s">
        <v>175</v>
      </c>
    </row>
    <row r="61" spans="1:10" hidden="1" x14ac:dyDescent="0.3">
      <c r="A61" s="14">
        <v>46169</v>
      </c>
      <c r="B61" s="16" t="s">
        <v>99</v>
      </c>
      <c r="C61" s="1" t="s">
        <v>127</v>
      </c>
      <c r="D61" s="3">
        <v>1200</v>
      </c>
      <c r="E61" t="s">
        <v>103</v>
      </c>
      <c r="F61" s="1" t="s">
        <v>51</v>
      </c>
      <c r="J61" t="s">
        <v>175</v>
      </c>
    </row>
    <row r="62" spans="1:10" hidden="1" x14ac:dyDescent="0.3">
      <c r="A62" s="14">
        <v>46170</v>
      </c>
      <c r="B62" s="16" t="s">
        <v>208</v>
      </c>
      <c r="C62" s="1" t="s">
        <v>50</v>
      </c>
      <c r="D62" s="3">
        <v>4500</v>
      </c>
      <c r="E62" t="s">
        <v>100</v>
      </c>
      <c r="F62" s="1" t="s">
        <v>51</v>
      </c>
      <c r="J62" t="s">
        <v>175</v>
      </c>
    </row>
    <row r="63" spans="1:10" hidden="1" x14ac:dyDescent="0.3">
      <c r="A63" s="14">
        <v>46170</v>
      </c>
      <c r="B63" s="21" t="s">
        <v>623</v>
      </c>
      <c r="C63" s="1" t="s">
        <v>52</v>
      </c>
      <c r="D63" s="3">
        <v>1500</v>
      </c>
      <c r="E63" t="s">
        <v>103</v>
      </c>
      <c r="J63" t="s">
        <v>175</v>
      </c>
    </row>
    <row r="64" spans="1:10" hidden="1" x14ac:dyDescent="0.3">
      <c r="A64" s="14">
        <v>46171</v>
      </c>
      <c r="B64" s="16" t="s">
        <v>99</v>
      </c>
      <c r="D64" s="3">
        <v>0</v>
      </c>
      <c r="E64" t="s">
        <v>102</v>
      </c>
    </row>
    <row r="65" spans="1:10" hidden="1" x14ac:dyDescent="0.3">
      <c r="A65" s="14">
        <v>46171</v>
      </c>
      <c r="B65" s="21" t="s">
        <v>631</v>
      </c>
      <c r="C65" s="1" t="s">
        <v>656</v>
      </c>
      <c r="D65" s="3">
        <v>1200</v>
      </c>
      <c r="E65" t="s">
        <v>103</v>
      </c>
      <c r="F65" s="1" t="s">
        <v>51</v>
      </c>
      <c r="J65" t="s">
        <v>175</v>
      </c>
    </row>
    <row r="66" spans="1:10" hidden="1" x14ac:dyDescent="0.3">
      <c r="A66" s="14">
        <v>46171</v>
      </c>
      <c r="B66" t="s">
        <v>640</v>
      </c>
      <c r="C66" s="1" t="s">
        <v>659</v>
      </c>
      <c r="D66" s="3">
        <v>2800</v>
      </c>
      <c r="E66" t="s">
        <v>103</v>
      </c>
      <c r="F66" s="1" t="s">
        <v>51</v>
      </c>
      <c r="J66" t="s">
        <v>175</v>
      </c>
    </row>
    <row r="67" spans="1:10" hidden="1" x14ac:dyDescent="0.3">
      <c r="A67" s="14">
        <v>46171</v>
      </c>
      <c r="B67" t="s">
        <v>548</v>
      </c>
      <c r="C67" s="1" t="s">
        <v>658</v>
      </c>
      <c r="D67" s="3">
        <v>1100</v>
      </c>
      <c r="E67" t="s">
        <v>103</v>
      </c>
      <c r="F67" s="1" t="s">
        <v>51</v>
      </c>
      <c r="J67" t="s">
        <v>175</v>
      </c>
    </row>
  </sheetData>
  <pageMargins left="0.7" right="0.7" top="0.75" bottom="0.75" header="0.3" footer="0.3"/>
  <pageSetup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0D56ED0-4588-49A7-88FC-979D7663D06C}">
          <x14:formula1>
            <xm:f>Listas!$D$2:$D$5</xm:f>
          </x14:formula1>
          <xm:sqref>I9:I67</xm:sqref>
        </x14:dataValidation>
        <x14:dataValidation type="list" allowBlank="1" showInputMessage="1" showErrorMessage="1" xr:uid="{B0E0AB97-2EE3-4207-B961-C2CDBACA49ED}">
          <x14:formula1>
            <xm:f>Listas!$C$2:$C$8</xm:f>
          </x14:formula1>
          <xm:sqref>E9:E67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CC65-1EF4-48C2-97EC-87C40D876017}">
  <dimension ref="A7:K22"/>
  <sheetViews>
    <sheetView showGridLines="0" zoomScale="130" zoomScaleNormal="130" workbookViewId="0">
      <selection activeCell="A9" sqref="A9"/>
    </sheetView>
  </sheetViews>
  <sheetFormatPr baseColWidth="10" defaultColWidth="0" defaultRowHeight="14.4" x14ac:dyDescent="0.3"/>
  <cols>
    <col min="1" max="1" width="26.6640625" style="6" customWidth="1"/>
    <col min="2" max="2" width="17" style="6" customWidth="1"/>
    <col min="3" max="4" width="19.5546875" style="6" customWidth="1"/>
    <col min="5" max="7" width="14.6640625" style="6" customWidth="1"/>
    <col min="8" max="8" width="5.5546875" style="6" customWidth="1"/>
    <col min="9" max="10" width="14.6640625" hidden="1" customWidth="1"/>
    <col min="11" max="11" width="11.44140625" hidden="1" customWidth="1"/>
    <col min="12" max="16384" width="11.44140625" style="6" hidden="1"/>
  </cols>
  <sheetData>
    <row r="7" spans="1:8" x14ac:dyDescent="0.3">
      <c r="A7" s="5" t="s">
        <v>0</v>
      </c>
    </row>
    <row r="8" spans="1:8" x14ac:dyDescent="0.3">
      <c r="A8" s="7">
        <v>46176</v>
      </c>
    </row>
    <row r="9" spans="1:8" x14ac:dyDescent="0.3">
      <c r="A9" s="6" t="s">
        <v>172</v>
      </c>
    </row>
    <row r="10" spans="1:8" x14ac:dyDescent="0.3">
      <c r="A10" s="1" t="s">
        <v>27</v>
      </c>
      <c r="B10" s="8" t="s">
        <v>76</v>
      </c>
      <c r="C10" s="8" t="s">
        <v>16</v>
      </c>
      <c r="D10" s="8" t="s">
        <v>103</v>
      </c>
      <c r="E10" s="8" t="s">
        <v>100</v>
      </c>
      <c r="F10" s="8" t="s">
        <v>17</v>
      </c>
      <c r="G10" s="8" t="s">
        <v>26</v>
      </c>
      <c r="H10" s="8"/>
    </row>
    <row r="11" spans="1:8" x14ac:dyDescent="0.3">
      <c r="A11" s="9" t="s">
        <v>13</v>
      </c>
      <c r="B11" s="12">
        <f>+SUMIFS(BD_ALEJANDRA[MONTO],BD_ALEJANDRA[MEDIO DE PAGO],'CIERRE DIARIO'!$B$10,BD_ALEJANDRA[FECHA],'CIERRE DIARIO'!$A$8)</f>
        <v>0</v>
      </c>
      <c r="C11" s="12">
        <f>+SUMIFS(BD_ALEJANDRA[MONTO],BD_ALEJANDRA[MEDIO DE PAGO],$C$10,BD_ALEJANDRA[FECHA],'CIERRE DIARIO'!$A$8)</f>
        <v>0</v>
      </c>
      <c r="D11" s="12">
        <f>+SUMIFS(BD_ALEJANDRA[MONTO],BD_ALEJANDRA[MEDIO DE PAGO],$D$10,BD_ALEJANDRA[FECHA],'CIERRE DIARIO'!$A$8)</f>
        <v>0</v>
      </c>
      <c r="E11" s="12">
        <f>+SUMIFS(BD_ALEJANDRA[[#All],[MONTO]],BD_ALEJANDRA[[#All],[MEDIO DE PAGO]],'CIERRE DIARIO'!$E$10,BD_ALEJANDRA[[#All],[FECHA]],'CIERRE DIARIO'!$A$8)</f>
        <v>0</v>
      </c>
      <c r="F11" s="12">
        <f>+SUMIFS(BD_ALEJANDRA[[#All],[MONTO]],BD_ALEJANDRA[[#All],[MEDIO DE PAGO]],$F$10,BD_ALEJANDRA[[#All],[FECHA]],'CIERRE DIARIO'!$A$8)</f>
        <v>0</v>
      </c>
      <c r="G11" s="12">
        <f t="shared" ref="G11:G14" si="0">+SUM(B11:F11)</f>
        <v>0</v>
      </c>
      <c r="H11" s="10"/>
    </row>
    <row r="12" spans="1:8" x14ac:dyDescent="0.3">
      <c r="A12" s="9" t="s">
        <v>12</v>
      </c>
      <c r="B12" s="12">
        <f>+SUMIFS(BD_CARLOS[MONTO],BD_CARLOS[MEDIO DE PAGO],'CIERRE DIARIO'!$B$10,BD_CARLOS[FECHA],'CIERRE DIARIO'!$A$8)</f>
        <v>0</v>
      </c>
      <c r="C12" s="12">
        <f>+SUMIFS(BD_CARLOS[MONTO],BD_CARLOS[MEDIO DE PAGO],$C$10,BD_CARLOS[FECHA],'CIERRE DIARIO'!$A$8)</f>
        <v>0</v>
      </c>
      <c r="D12" s="12">
        <f>+SUMIFS(BD_CARLOS[MONTO],BD_CARLOS[MEDIO DE PAGO],$D$10,BD_CARLOS[FECHA],'CIERRE DIARIO'!$A$8)</f>
        <v>0</v>
      </c>
      <c r="E12" s="12">
        <f>+SUMIFS(BD_CARLOS[[#All],[MONTO]],BD_CARLOS[[#All],[MEDIO DE PAGO]],'CIERRE DIARIO'!$E$10,BD_CARLOS[[#All],[FECHA]],'CIERRE DIARIO'!$A$8)</f>
        <v>0</v>
      </c>
      <c r="F12" s="12">
        <f>+SUMIFS(BD_CARLOS[[#All],[MONTO]],BD_CARLOS[[#All],[MEDIO DE PAGO]],$F$10,BD_CARLOS[[#All],[FECHA]],'CIERRE DIARIO'!$A$8)</f>
        <v>0</v>
      </c>
      <c r="G12" s="12">
        <f t="shared" si="0"/>
        <v>0</v>
      </c>
      <c r="H12" s="10"/>
    </row>
    <row r="13" spans="1:8" x14ac:dyDescent="0.3">
      <c r="A13" s="9" t="s">
        <v>20</v>
      </c>
      <c r="B13" s="12">
        <f>+SUMIFS(BD_COSM1[MONTO],BD_COSM1[MEDIO DE PAGO],'CIERRE DIARIO'!$B$10,BD_COSM1[FECHA],'CIERRE DIARIO'!$A$8)</f>
        <v>0</v>
      </c>
      <c r="C13" s="12">
        <f>+SUMIFS(BD_COSM1[MONTO],BD_COSM1[MEDIO DE PAGO],$C$10,BD_COSM1[FECHA],'CIERRE DIARIO'!$A$8)</f>
        <v>0</v>
      </c>
      <c r="D13" s="12">
        <f>+SUMIFS(BD_COSM1[MONTO],BD_COSM1[MEDIO DE PAGO],$D$10,BD_COSM1[FECHA],'CIERRE DIARIO'!$A$8)</f>
        <v>0</v>
      </c>
      <c r="E13" s="10">
        <f>+SUMIFS(BD_COSM1[[#All],[MONTO]],BD_COSM1[[#All],[MEDIO DE PAGO]],'CIERRE DIARIO'!$E$10,BD_COSM1[[#All],[FECHA]],'CIERRE DIARIO'!$A$8)</f>
        <v>0</v>
      </c>
      <c r="F13" s="10">
        <f>+SUMIFS(BD_COSM1[[#All],[MONTO]],BD_COSM1[[#All],[MEDIO DE PAGO]],$F$10,BD_COSM1[[#All],[FECHA]],'CIERRE DIARIO'!$A$8)</f>
        <v>0</v>
      </c>
      <c r="G13" s="12">
        <f t="shared" si="0"/>
        <v>0</v>
      </c>
      <c r="H13" s="10"/>
    </row>
    <row r="14" spans="1:8" x14ac:dyDescent="0.3">
      <c r="A14" s="9" t="s">
        <v>25</v>
      </c>
      <c r="B14" s="12">
        <f>+SUMIFS(BD_COSM2[MONTO],BD_COSM2[MEDIO DE PAGO],'CIERRE DIARIO'!$B$10,BD_COSM2[FECHA],'CIERRE DIARIO'!$A$8)</f>
        <v>0</v>
      </c>
      <c r="C14" s="12">
        <f>+SUMIFS(BD_COSM2[MONTO],BD_COSM2[MEDIO DE PAGO],$C$10,BD_COSM2[FECHA],'CIERRE DIARIO'!$A$8)</f>
        <v>0</v>
      </c>
      <c r="D14" s="12">
        <f>+SUMIFS(BD_COSM2[MONTO],BD_COSM2[MEDIO DE PAGO],$D$10,BD_COSM2[FECHA],'CIERRE DIARIO'!$A$8)</f>
        <v>0</v>
      </c>
      <c r="E14" s="10">
        <f>+SUMIFS(BD_COSM2[[#All],[MONTO]],BD_COSM2[[#All],[MEDIO DE PAGO]],'CIERRE DIARIO'!$E$10,BD_COSM2[[#All],[FECHA]],'CIERRE DIARIO'!$A$8)</f>
        <v>0</v>
      </c>
      <c r="F14" s="10">
        <f>+SUMIFS(BD_COSM2[[#All],[MONTO]],BD_COSM2[[#All],[MEDIO DE PAGO]],$F$10,BD_COSM2[[#All],[FECHA]],'CIERRE DIARIO'!$A$8)</f>
        <v>0</v>
      </c>
      <c r="G14" s="12">
        <f t="shared" si="0"/>
        <v>0</v>
      </c>
      <c r="H14" s="10"/>
    </row>
    <row r="15" spans="1:8" x14ac:dyDescent="0.3">
      <c r="A15" s="1"/>
      <c r="B15" s="10"/>
      <c r="C15" s="10"/>
      <c r="D15" s="10"/>
      <c r="E15" s="10"/>
      <c r="F15" s="10"/>
      <c r="G15" s="10"/>
      <c r="H15" s="10"/>
    </row>
    <row r="16" spans="1:8" x14ac:dyDescent="0.3">
      <c r="A16" s="2" t="s">
        <v>26</v>
      </c>
      <c r="B16" s="11">
        <f t="shared" ref="B16:G16" si="1">+SUM(B11:B14)</f>
        <v>0</v>
      </c>
      <c r="C16" s="11">
        <f t="shared" si="1"/>
        <v>0</v>
      </c>
      <c r="D16" s="11">
        <f t="shared" si="1"/>
        <v>0</v>
      </c>
      <c r="E16" s="11">
        <f t="shared" si="1"/>
        <v>0</v>
      </c>
      <c r="F16" s="11">
        <f t="shared" si="1"/>
        <v>0</v>
      </c>
      <c r="G16" s="11">
        <f t="shared" si="1"/>
        <v>0</v>
      </c>
      <c r="H16"/>
    </row>
    <row r="20" spans="3:4" x14ac:dyDescent="0.3">
      <c r="D20" s="6" t="s">
        <v>172</v>
      </c>
    </row>
    <row r="22" spans="3:4" x14ac:dyDescent="0.3">
      <c r="C22" s="35"/>
    </row>
  </sheetData>
  <pageMargins left="0.7" right="0.7" top="0.75" bottom="0.75" header="0.3" footer="0.3"/>
  <ignoredErrors>
    <ignoredError sqref="E12:E14" calculatedColumn="1"/>
  </ignoredErrors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A2B3-6C2D-4EA1-A980-6EC56739B6BB}">
  <dimension ref="A1:Q56"/>
  <sheetViews>
    <sheetView workbookViewId="0">
      <selection activeCell="I28" sqref="I28"/>
    </sheetView>
  </sheetViews>
  <sheetFormatPr baseColWidth="10" defaultRowHeight="14.4" x14ac:dyDescent="0.3"/>
  <cols>
    <col min="1" max="1" width="21.6640625" customWidth="1"/>
  </cols>
  <sheetData>
    <row r="1" spans="1:5" ht="18" x14ac:dyDescent="0.35">
      <c r="A1" cm="1">
        <f t="array" aca="1" ref="A1" ca="1">A1:Q38</f>
        <v>0</v>
      </c>
      <c r="E1" s="26" t="s">
        <v>151</v>
      </c>
    </row>
    <row r="3" spans="1:5" x14ac:dyDescent="0.3">
      <c r="A3" s="1" t="s">
        <v>152</v>
      </c>
      <c r="B3" s="1" t="s">
        <v>0</v>
      </c>
    </row>
    <row r="4" spans="1:5" x14ac:dyDescent="0.3">
      <c r="B4" s="30">
        <v>46174</v>
      </c>
    </row>
    <row r="5" spans="1:5" x14ac:dyDescent="0.3">
      <c r="A5" s="25" t="s">
        <v>153</v>
      </c>
      <c r="B5" s="1">
        <v>24</v>
      </c>
    </row>
    <row r="6" spans="1:5" x14ac:dyDescent="0.3">
      <c r="A6" s="25" t="s">
        <v>154</v>
      </c>
      <c r="B6" s="1">
        <v>18</v>
      </c>
    </row>
    <row r="7" spans="1:5" x14ac:dyDescent="0.3">
      <c r="A7" s="25" t="s">
        <v>155</v>
      </c>
      <c r="B7" s="1">
        <v>7</v>
      </c>
    </row>
    <row r="8" spans="1:5" x14ac:dyDescent="0.3">
      <c r="A8" s="25" t="s">
        <v>156</v>
      </c>
      <c r="B8" s="1">
        <v>18</v>
      </c>
    </row>
    <row r="9" spans="1:5" x14ac:dyDescent="0.3">
      <c r="A9" s="25" t="s">
        <v>157</v>
      </c>
      <c r="B9" s="1">
        <v>15</v>
      </c>
    </row>
    <row r="10" spans="1:5" x14ac:dyDescent="0.3">
      <c r="A10" s="25" t="s">
        <v>158</v>
      </c>
      <c r="B10" s="1">
        <v>0</v>
      </c>
    </row>
    <row r="11" spans="1:5" x14ac:dyDescent="0.3">
      <c r="A11" s="25" t="s">
        <v>427</v>
      </c>
      <c r="B11" s="1">
        <v>5</v>
      </c>
    </row>
    <row r="12" spans="1:5" x14ac:dyDescent="0.3">
      <c r="A12" s="25" t="s">
        <v>428</v>
      </c>
      <c r="B12" s="1">
        <v>9</v>
      </c>
    </row>
    <row r="13" spans="1:5" x14ac:dyDescent="0.3">
      <c r="A13" s="25" t="s">
        <v>159</v>
      </c>
      <c r="B13" s="1">
        <v>22</v>
      </c>
    </row>
    <row r="14" spans="1:5" x14ac:dyDescent="0.3">
      <c r="A14" s="25" t="s">
        <v>160</v>
      </c>
      <c r="B14" s="1">
        <v>17</v>
      </c>
    </row>
    <row r="15" spans="1:5" x14ac:dyDescent="0.3">
      <c r="A15" s="25" t="s">
        <v>161</v>
      </c>
      <c r="B15" s="1">
        <v>0</v>
      </c>
    </row>
    <row r="16" spans="1:5" x14ac:dyDescent="0.3">
      <c r="A16" s="25" t="s">
        <v>162</v>
      </c>
      <c r="B16" s="1">
        <v>0</v>
      </c>
    </row>
    <row r="17" spans="1:17" x14ac:dyDescent="0.3">
      <c r="A17" s="25" t="s">
        <v>163</v>
      </c>
      <c r="B17" s="1">
        <v>8</v>
      </c>
    </row>
    <row r="18" spans="1:17" x14ac:dyDescent="0.3">
      <c r="A18" s="25" t="s">
        <v>580</v>
      </c>
      <c r="B18" s="1">
        <v>4</v>
      </c>
    </row>
    <row r="19" spans="1:17" x14ac:dyDescent="0.3">
      <c r="A19" s="25" t="s">
        <v>581</v>
      </c>
      <c r="B19" s="1">
        <v>3</v>
      </c>
    </row>
    <row r="20" spans="1:17" x14ac:dyDescent="0.3">
      <c r="A20" s="25" t="s">
        <v>582</v>
      </c>
      <c r="B20" s="1">
        <v>5</v>
      </c>
    </row>
    <row r="21" spans="1:17" x14ac:dyDescent="0.3">
      <c r="A21" s="25"/>
      <c r="B21" s="1"/>
    </row>
    <row r="22" spans="1:17" x14ac:dyDescent="0.3">
      <c r="A22" s="27" t="s">
        <v>152</v>
      </c>
      <c r="B22" s="27" t="s">
        <v>0</v>
      </c>
      <c r="C22" s="27" t="s">
        <v>164</v>
      </c>
      <c r="D22" s="27" t="s">
        <v>165</v>
      </c>
      <c r="E22" s="27" t="s">
        <v>164</v>
      </c>
      <c r="F22" s="27" t="s">
        <v>164</v>
      </c>
      <c r="G22" s="27" t="s">
        <v>165</v>
      </c>
      <c r="H22" s="27" t="s">
        <v>165</v>
      </c>
      <c r="I22" s="27" t="s">
        <v>0</v>
      </c>
      <c r="J22" s="27" t="s">
        <v>164</v>
      </c>
      <c r="K22" s="27" t="s">
        <v>164</v>
      </c>
      <c r="L22" s="27" t="s">
        <v>0</v>
      </c>
      <c r="M22" s="27" t="s">
        <v>164</v>
      </c>
      <c r="N22" s="27" t="s">
        <v>164</v>
      </c>
      <c r="O22" s="27" t="s">
        <v>0</v>
      </c>
      <c r="P22" s="27" t="s">
        <v>164</v>
      </c>
      <c r="Q22" s="27" t="s">
        <v>663</v>
      </c>
    </row>
    <row r="23" spans="1:17" x14ac:dyDescent="0.3">
      <c r="A23" s="25" t="s">
        <v>153</v>
      </c>
      <c r="B23" s="1"/>
    </row>
    <row r="24" spans="1:17" x14ac:dyDescent="0.3">
      <c r="A24" s="25" t="s">
        <v>154</v>
      </c>
      <c r="B24" s="1"/>
    </row>
    <row r="25" spans="1:17" x14ac:dyDescent="0.3">
      <c r="A25" s="25" t="s">
        <v>155</v>
      </c>
      <c r="B25" s="1"/>
    </row>
    <row r="26" spans="1:17" x14ac:dyDescent="0.3">
      <c r="A26" s="25" t="s">
        <v>156</v>
      </c>
      <c r="B26" s="1"/>
    </row>
    <row r="27" spans="1:17" x14ac:dyDescent="0.3">
      <c r="A27" s="25" t="s">
        <v>157</v>
      </c>
      <c r="B27" s="1"/>
    </row>
    <row r="28" spans="1:17" x14ac:dyDescent="0.3">
      <c r="A28" s="25" t="s">
        <v>158</v>
      </c>
      <c r="B28" s="1"/>
    </row>
    <row r="29" spans="1:17" x14ac:dyDescent="0.3">
      <c r="A29" s="25" t="s">
        <v>427</v>
      </c>
      <c r="B29" s="1"/>
    </row>
    <row r="30" spans="1:17" x14ac:dyDescent="0.3">
      <c r="A30" s="25" t="s">
        <v>428</v>
      </c>
      <c r="B30" s="1"/>
    </row>
    <row r="31" spans="1:17" x14ac:dyDescent="0.3">
      <c r="A31" s="25" t="s">
        <v>159</v>
      </c>
      <c r="B31" s="1"/>
    </row>
    <row r="32" spans="1:17" x14ac:dyDescent="0.3">
      <c r="A32" s="25" t="s">
        <v>160</v>
      </c>
      <c r="B32" s="1"/>
    </row>
    <row r="33" spans="1:17" x14ac:dyDescent="0.3">
      <c r="A33" s="25" t="s">
        <v>161</v>
      </c>
      <c r="B33" s="1"/>
    </row>
    <row r="34" spans="1:17" x14ac:dyDescent="0.3">
      <c r="A34" s="25" t="s">
        <v>162</v>
      </c>
      <c r="B34" s="1"/>
    </row>
    <row r="35" spans="1:17" x14ac:dyDescent="0.3">
      <c r="A35" s="25" t="s">
        <v>163</v>
      </c>
      <c r="B35" s="1"/>
    </row>
    <row r="36" spans="1:17" x14ac:dyDescent="0.3">
      <c r="A36" s="25" t="s">
        <v>580</v>
      </c>
      <c r="B36" s="1"/>
    </row>
    <row r="37" spans="1:17" x14ac:dyDescent="0.3">
      <c r="A37" s="25" t="s">
        <v>581</v>
      </c>
      <c r="B37" s="1"/>
    </row>
    <row r="38" spans="1:17" x14ac:dyDescent="0.3">
      <c r="A38" s="25" t="s">
        <v>582</v>
      </c>
      <c r="B38" s="1"/>
    </row>
    <row r="39" spans="1:17" x14ac:dyDescent="0.3">
      <c r="A39" s="27" t="s">
        <v>152</v>
      </c>
      <c r="B39" s="27" t="s">
        <v>0</v>
      </c>
      <c r="C39" s="27" t="s">
        <v>164</v>
      </c>
      <c r="D39" s="27" t="s">
        <v>165</v>
      </c>
      <c r="E39" s="27" t="s">
        <v>164</v>
      </c>
      <c r="F39" s="27" t="s">
        <v>164</v>
      </c>
      <c r="G39" s="27" t="s">
        <v>165</v>
      </c>
      <c r="H39" s="27" t="s">
        <v>165</v>
      </c>
      <c r="I39" s="27" t="s">
        <v>0</v>
      </c>
      <c r="J39" s="27" t="s">
        <v>164</v>
      </c>
      <c r="K39" s="27" t="s">
        <v>164</v>
      </c>
      <c r="L39" s="27" t="s">
        <v>0</v>
      </c>
      <c r="M39" s="27" t="s">
        <v>164</v>
      </c>
      <c r="N39" s="27" t="s">
        <v>164</v>
      </c>
      <c r="O39" s="27" t="s">
        <v>0</v>
      </c>
      <c r="P39" s="27" t="s">
        <v>164</v>
      </c>
      <c r="Q39" s="27" t="s">
        <v>663</v>
      </c>
    </row>
    <row r="40" spans="1:17" x14ac:dyDescent="0.3">
      <c r="B40" s="4">
        <v>46118</v>
      </c>
      <c r="D40" s="4">
        <v>46125</v>
      </c>
      <c r="E40" s="4">
        <v>46125</v>
      </c>
      <c r="F40" s="4">
        <v>46127</v>
      </c>
      <c r="G40" s="4">
        <v>46132</v>
      </c>
      <c r="H40" s="4">
        <v>46140</v>
      </c>
      <c r="I40" s="4">
        <v>46147</v>
      </c>
      <c r="J40" s="4">
        <v>46149</v>
      </c>
      <c r="K40" s="4">
        <v>46154</v>
      </c>
      <c r="L40" s="37">
        <v>46156</v>
      </c>
      <c r="M40" s="4">
        <v>46156</v>
      </c>
      <c r="N40" s="4">
        <v>46157</v>
      </c>
      <c r="O40" s="43">
        <v>46160</v>
      </c>
      <c r="P40" s="4">
        <v>46170</v>
      </c>
      <c r="Q40" s="30">
        <v>46167</v>
      </c>
    </row>
    <row r="41" spans="1:17" x14ac:dyDescent="0.3">
      <c r="A41" s="25" t="s">
        <v>153</v>
      </c>
      <c r="B41" s="1">
        <v>3</v>
      </c>
      <c r="D41" s="1">
        <v>19</v>
      </c>
      <c r="F41" s="28">
        <v>20</v>
      </c>
      <c r="G41" s="1">
        <v>38</v>
      </c>
      <c r="H41" s="1">
        <v>31</v>
      </c>
      <c r="I41" s="1">
        <v>30</v>
      </c>
      <c r="L41" s="1">
        <v>22</v>
      </c>
      <c r="O41" s="1">
        <v>19</v>
      </c>
      <c r="P41" s="28">
        <v>25</v>
      </c>
      <c r="Q41" s="1">
        <v>12</v>
      </c>
    </row>
    <row r="42" spans="1:17" x14ac:dyDescent="0.3">
      <c r="A42" s="25" t="s">
        <v>154</v>
      </c>
      <c r="B42" s="1">
        <v>25</v>
      </c>
      <c r="D42" s="1">
        <v>40</v>
      </c>
      <c r="F42" s="28">
        <v>40</v>
      </c>
      <c r="G42" s="1">
        <v>72</v>
      </c>
      <c r="H42" s="1">
        <v>66</v>
      </c>
      <c r="I42" s="1">
        <v>54</v>
      </c>
      <c r="L42" s="1">
        <v>42</v>
      </c>
      <c r="O42" s="1">
        <v>37</v>
      </c>
      <c r="Q42" s="1">
        <v>31</v>
      </c>
    </row>
    <row r="43" spans="1:17" x14ac:dyDescent="0.3">
      <c r="A43" s="25" t="s">
        <v>155</v>
      </c>
      <c r="B43" s="1">
        <v>10</v>
      </c>
      <c r="D43" s="1">
        <v>9</v>
      </c>
      <c r="F43" s="8"/>
      <c r="G43" s="1">
        <v>9</v>
      </c>
      <c r="H43" s="1">
        <v>9</v>
      </c>
      <c r="I43" s="1">
        <v>9</v>
      </c>
      <c r="L43" s="1">
        <v>7</v>
      </c>
      <c r="O43" s="1">
        <v>7</v>
      </c>
      <c r="Q43" s="1">
        <v>7</v>
      </c>
    </row>
    <row r="44" spans="1:17" x14ac:dyDescent="0.3">
      <c r="A44" s="25" t="s">
        <v>156</v>
      </c>
      <c r="B44" s="1">
        <v>28</v>
      </c>
      <c r="D44" s="1">
        <v>1</v>
      </c>
      <c r="F44" s="28">
        <v>40</v>
      </c>
      <c r="G44" s="1">
        <v>37</v>
      </c>
      <c r="H44" s="1">
        <v>30</v>
      </c>
      <c r="I44" s="1">
        <v>25</v>
      </c>
      <c r="L44" s="1">
        <v>8</v>
      </c>
      <c r="N44" s="28">
        <v>30</v>
      </c>
      <c r="O44" s="1">
        <v>31</v>
      </c>
      <c r="Q44" s="1">
        <v>28</v>
      </c>
    </row>
    <row r="45" spans="1:17" x14ac:dyDescent="0.3">
      <c r="A45" s="25" t="s">
        <v>157</v>
      </c>
      <c r="B45" s="1">
        <v>20</v>
      </c>
      <c r="D45" s="1">
        <v>0</v>
      </c>
      <c r="E45" s="28">
        <v>40</v>
      </c>
      <c r="F45" s="8"/>
      <c r="G45" s="1">
        <v>36</v>
      </c>
      <c r="H45" s="1">
        <v>25</v>
      </c>
      <c r="I45" s="1">
        <v>13</v>
      </c>
      <c r="J45" s="28">
        <v>40</v>
      </c>
      <c r="L45" s="1">
        <v>42</v>
      </c>
      <c r="O45" s="1">
        <v>29</v>
      </c>
      <c r="Q45" s="1">
        <v>23</v>
      </c>
    </row>
    <row r="46" spans="1:17" x14ac:dyDescent="0.3">
      <c r="A46" s="25" t="s">
        <v>158</v>
      </c>
      <c r="B46" s="1">
        <v>0</v>
      </c>
      <c r="D46" s="1">
        <v>0</v>
      </c>
      <c r="F46" s="8"/>
      <c r="G46" s="1">
        <v>0</v>
      </c>
      <c r="H46" s="1">
        <v>0</v>
      </c>
      <c r="I46" s="1">
        <v>0</v>
      </c>
      <c r="L46" s="1">
        <v>0</v>
      </c>
      <c r="O46" s="1">
        <v>0</v>
      </c>
      <c r="Q46" s="1">
        <v>0</v>
      </c>
    </row>
    <row r="47" spans="1:17" x14ac:dyDescent="0.3">
      <c r="A47" s="25" t="s">
        <v>427</v>
      </c>
      <c r="B47" s="1">
        <v>0</v>
      </c>
      <c r="D47" s="1">
        <v>0</v>
      </c>
      <c r="F47" s="8"/>
      <c r="G47" s="1">
        <v>0</v>
      </c>
      <c r="H47" s="1">
        <v>0</v>
      </c>
      <c r="I47" s="1">
        <v>0</v>
      </c>
      <c r="K47" s="28">
        <v>20</v>
      </c>
      <c r="L47" s="1">
        <v>10</v>
      </c>
      <c r="O47" s="1">
        <v>9</v>
      </c>
      <c r="Q47" s="1">
        <v>8</v>
      </c>
    </row>
    <row r="48" spans="1:17" x14ac:dyDescent="0.3">
      <c r="A48" s="25" t="s">
        <v>428</v>
      </c>
      <c r="B48" s="1"/>
      <c r="D48" s="1"/>
      <c r="F48" s="8"/>
      <c r="G48" s="1"/>
      <c r="H48" s="1"/>
      <c r="I48" s="1"/>
      <c r="K48" s="1"/>
      <c r="L48" s="1"/>
      <c r="M48" s="28">
        <v>20</v>
      </c>
      <c r="O48" s="1">
        <v>15</v>
      </c>
      <c r="Q48" s="1">
        <v>12</v>
      </c>
    </row>
    <row r="49" spans="1:17" x14ac:dyDescent="0.3">
      <c r="A49" s="25" t="s">
        <v>159</v>
      </c>
      <c r="B49" s="1">
        <v>13</v>
      </c>
      <c r="D49" s="1">
        <v>9</v>
      </c>
      <c r="F49" s="28">
        <v>20</v>
      </c>
      <c r="G49" s="1">
        <v>26</v>
      </c>
      <c r="H49" s="1">
        <v>25</v>
      </c>
      <c r="I49" s="1">
        <v>21</v>
      </c>
      <c r="L49" s="1">
        <v>15</v>
      </c>
      <c r="O49" s="1">
        <v>5</v>
      </c>
      <c r="P49" s="28">
        <v>20</v>
      </c>
      <c r="Q49" s="1">
        <v>4</v>
      </c>
    </row>
    <row r="50" spans="1:17" x14ac:dyDescent="0.3">
      <c r="A50" s="25" t="s">
        <v>160</v>
      </c>
      <c r="B50" s="1">
        <v>47</v>
      </c>
      <c r="D50" s="1">
        <v>39</v>
      </c>
      <c r="G50" s="1">
        <v>37</v>
      </c>
      <c r="H50" s="1">
        <v>36</v>
      </c>
      <c r="I50" s="1">
        <v>33</v>
      </c>
      <c r="L50" s="1">
        <v>29</v>
      </c>
      <c r="O50" s="1">
        <v>29</v>
      </c>
      <c r="Q50" s="1">
        <v>19</v>
      </c>
    </row>
    <row r="51" spans="1:17" x14ac:dyDescent="0.3">
      <c r="A51" s="25" t="s">
        <v>161</v>
      </c>
      <c r="B51" s="1">
        <v>3</v>
      </c>
      <c r="D51" s="1">
        <v>2</v>
      </c>
      <c r="G51" s="1">
        <v>2</v>
      </c>
      <c r="H51" s="1">
        <v>2</v>
      </c>
      <c r="I51" s="1">
        <v>2</v>
      </c>
      <c r="L51" s="1">
        <v>0</v>
      </c>
      <c r="O51" s="1">
        <v>0</v>
      </c>
      <c r="Q51" s="1">
        <v>0</v>
      </c>
    </row>
    <row r="52" spans="1:17" x14ac:dyDescent="0.3">
      <c r="A52" s="25" t="s">
        <v>162</v>
      </c>
      <c r="B52" s="1">
        <v>1</v>
      </c>
      <c r="D52" s="1">
        <v>0</v>
      </c>
      <c r="G52" s="1">
        <v>0</v>
      </c>
      <c r="H52" s="1">
        <v>0</v>
      </c>
      <c r="I52" s="1">
        <v>0</v>
      </c>
      <c r="L52" s="1">
        <v>0</v>
      </c>
      <c r="O52" s="1">
        <v>0</v>
      </c>
      <c r="Q52" s="1">
        <v>0</v>
      </c>
    </row>
    <row r="53" spans="1:17" x14ac:dyDescent="0.3">
      <c r="A53" s="25" t="s">
        <v>163</v>
      </c>
      <c r="B53" s="1">
        <v>8</v>
      </c>
      <c r="D53" s="1">
        <v>8</v>
      </c>
      <c r="G53" s="1">
        <v>8</v>
      </c>
      <c r="H53" s="1">
        <v>8</v>
      </c>
      <c r="I53" s="1">
        <v>8</v>
      </c>
      <c r="L53" s="1">
        <v>8</v>
      </c>
      <c r="O53" s="1">
        <v>8</v>
      </c>
      <c r="Q53" s="1">
        <v>8</v>
      </c>
    </row>
    <row r="54" spans="1:17" x14ac:dyDescent="0.3">
      <c r="A54" s="25" t="s">
        <v>580</v>
      </c>
      <c r="Q54" s="1">
        <v>5</v>
      </c>
    </row>
    <row r="55" spans="1:17" x14ac:dyDescent="0.3">
      <c r="A55" s="25" t="s">
        <v>581</v>
      </c>
      <c r="Q55" s="1">
        <v>5</v>
      </c>
    </row>
    <row r="56" spans="1:17" x14ac:dyDescent="0.3">
      <c r="A56" s="25" t="s">
        <v>582</v>
      </c>
      <c r="Q56" s="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510A-B317-4824-9601-2AEBC1DB000B}">
  <dimension ref="A1:D8"/>
  <sheetViews>
    <sheetView workbookViewId="0">
      <selection activeCell="C14" sqref="C14:G14"/>
    </sheetView>
  </sheetViews>
  <sheetFormatPr baseColWidth="10" defaultRowHeight="14.4" x14ac:dyDescent="0.3"/>
  <cols>
    <col min="1" max="1" width="24.5546875" bestFit="1" customWidth="1"/>
    <col min="2" max="2" width="24.5546875" customWidth="1"/>
    <col min="3" max="3" width="15.33203125" bestFit="1" customWidth="1"/>
    <col min="4" max="4" width="16.33203125" bestFit="1" customWidth="1"/>
  </cols>
  <sheetData>
    <row r="1" spans="1:4" x14ac:dyDescent="0.3">
      <c r="A1" t="s">
        <v>14</v>
      </c>
      <c r="B1" t="s">
        <v>19</v>
      </c>
      <c r="C1" t="s">
        <v>15</v>
      </c>
      <c r="D1" t="s">
        <v>8</v>
      </c>
    </row>
    <row r="2" spans="1:4" x14ac:dyDescent="0.3">
      <c r="A2" t="s">
        <v>13</v>
      </c>
      <c r="B2" t="s">
        <v>11</v>
      </c>
      <c r="C2" t="s">
        <v>76</v>
      </c>
      <c r="D2" t="s">
        <v>101</v>
      </c>
    </row>
    <row r="3" spans="1:4" x14ac:dyDescent="0.3">
      <c r="A3" t="s">
        <v>12</v>
      </c>
      <c r="B3" t="s">
        <v>10</v>
      </c>
      <c r="C3" t="s">
        <v>102</v>
      </c>
      <c r="D3" t="s">
        <v>23</v>
      </c>
    </row>
    <row r="4" spans="1:4" x14ac:dyDescent="0.3">
      <c r="A4" t="s">
        <v>20</v>
      </c>
      <c r="C4" t="s">
        <v>16</v>
      </c>
      <c r="D4" t="s">
        <v>22</v>
      </c>
    </row>
    <row r="5" spans="1:4" x14ac:dyDescent="0.3">
      <c r="C5" t="s">
        <v>18</v>
      </c>
      <c r="D5" t="s">
        <v>21</v>
      </c>
    </row>
    <row r="6" spans="1:4" x14ac:dyDescent="0.3">
      <c r="C6" t="s">
        <v>103</v>
      </c>
    </row>
    <row r="7" spans="1:4" x14ac:dyDescent="0.3">
      <c r="C7" t="s">
        <v>100</v>
      </c>
    </row>
    <row r="8" spans="1:4" x14ac:dyDescent="0.3">
      <c r="C8" t="s">
        <v>17</v>
      </c>
    </row>
  </sheetData>
  <sortState xmlns:xlrd2="http://schemas.microsoft.com/office/spreadsheetml/2017/richdata2" ref="C2:C7">
    <sortCondition ref="C2:C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DRA. ALEJANDRA</vt:lpstr>
      <vt:lpstr>DR. CARLOS</vt:lpstr>
      <vt:lpstr>COSM. KARELY</vt:lpstr>
      <vt:lpstr>COSMETOLOGA KARLA.  </vt:lpstr>
      <vt:lpstr>CIERRE DIARIO</vt:lpstr>
      <vt:lpstr>INVENTARIO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Obando</dc:creator>
  <cp:lastModifiedBy>Dani Obando</cp:lastModifiedBy>
  <cp:lastPrinted>2026-04-21T16:52:49Z</cp:lastPrinted>
  <dcterms:created xsi:type="dcterms:W3CDTF">2026-03-02T19:54:04Z</dcterms:created>
  <dcterms:modified xsi:type="dcterms:W3CDTF">2026-06-04T17:43:47Z</dcterms:modified>
</cp:coreProperties>
</file>